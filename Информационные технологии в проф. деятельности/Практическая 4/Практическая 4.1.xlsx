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4fb4a514811215b/Рабочий стол/Projects/Информационные технологии в проф. деятельности/Практическая 4/"/>
    </mc:Choice>
  </mc:AlternateContent>
  <xr:revisionPtr revIDLastSave="3" documentId="8_{CB2CFFA7-1EDB-40E8-9C76-AFE5B48BEFD8}" xr6:coauthVersionLast="47" xr6:coauthVersionMax="47" xr10:uidLastSave="{343756EF-8759-447E-9414-3006FED3145A}"/>
  <bookViews>
    <workbookView xWindow="-120" yWindow="-120" windowWidth="29040" windowHeight="15720" activeTab="2" xr2:uid="{00000000-000D-0000-FFFF-FFFF00000000}"/>
  </bookViews>
  <sheets>
    <sheet name="Лист1" sheetId="1" r:id="rId1"/>
    <sheet name="Лист2" sheetId="2" r:id="rId2"/>
    <sheet name="Погода" sheetId="3" r:id="rId3"/>
    <sheet name="Мусс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4" l="1"/>
  <c r="E5" i="4"/>
  <c r="E6" i="4"/>
  <c r="E7" i="4"/>
  <c r="E4" i="4"/>
  <c r="C5" i="4"/>
  <c r="C6" i="4"/>
  <c r="C7" i="4"/>
  <c r="C4" i="4"/>
  <c r="D11" i="3"/>
  <c r="E11" i="3"/>
  <c r="F11" i="3"/>
  <c r="C11" i="3"/>
  <c r="D13" i="3"/>
  <c r="E13" i="3"/>
  <c r="F13" i="3"/>
  <c r="C13" i="3"/>
  <c r="D12" i="3"/>
  <c r="E12" i="3"/>
  <c r="F12" i="3"/>
  <c r="C12" i="3"/>
  <c r="D6" i="2"/>
  <c r="D3" i="2"/>
  <c r="D4" i="2"/>
  <c r="D5" i="2"/>
  <c r="D7" i="2"/>
  <c r="E9" i="1"/>
  <c r="H3" i="1"/>
  <c r="H4" i="1"/>
  <c r="H5" i="1"/>
  <c r="H6" i="1"/>
  <c r="H2" i="1"/>
  <c r="F3" i="1"/>
  <c r="F4" i="1"/>
  <c r="F5" i="1"/>
  <c r="F6" i="1"/>
  <c r="C9" i="1"/>
  <c r="C8" i="1"/>
  <c r="G6" i="1"/>
  <c r="G5" i="1"/>
  <c r="G4" i="1"/>
  <c r="G3" i="1"/>
  <c r="G2" i="1"/>
  <c r="F2" i="1"/>
</calcChain>
</file>

<file path=xl/sharedStrings.xml><?xml version="1.0" encoding="utf-8"?>
<sst xmlns="http://schemas.openxmlformats.org/spreadsheetml/2006/main" count="50" uniqueCount="50">
  <si>
    <t>Иванов Иван</t>
  </si>
  <si>
    <t>Андрей Иванов</t>
  </si>
  <si>
    <t>Иван Андреев</t>
  </si>
  <si>
    <t>Ольга Иванова</t>
  </si>
  <si>
    <t>Владислав Андреев</t>
  </si>
  <si>
    <t>Январь</t>
  </si>
  <si>
    <t>Февраль</t>
  </si>
  <si>
    <t>Март</t>
  </si>
  <si>
    <t>Итого</t>
  </si>
  <si>
    <t>Среднее</t>
  </si>
  <si>
    <t>Макс. за январь</t>
  </si>
  <si>
    <t>Мин. за январь</t>
  </si>
  <si>
    <t>Премия</t>
  </si>
  <si>
    <t>Сцепить</t>
  </si>
  <si>
    <t>Страна</t>
  </si>
  <si>
    <t>Цена (долл.)</t>
  </si>
  <si>
    <t>Цена (руб.)</t>
  </si>
  <si>
    <t>США</t>
  </si>
  <si>
    <t>Англия</t>
  </si>
  <si>
    <t>Франция</t>
  </si>
  <si>
    <t>Швеция</t>
  </si>
  <si>
    <t>Испания</t>
  </si>
  <si>
    <t>Курс доллара:</t>
  </si>
  <si>
    <t>Дни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</si>
  <si>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</si>
  <si>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</si>
  <si>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</si>
  <si>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</si>
  <si>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</si>
  <si>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</si>
  <si>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</si>
  <si>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1 неделя</t>
  </si>
  <si>
    <t>2 неделя</t>
  </si>
  <si>
    <t>3 неделя</t>
  </si>
  <si>
    <t>4 неделя</t>
  </si>
  <si>
    <t>Средняя</t>
  </si>
  <si>
    <t>Макс.</t>
  </si>
  <si>
    <t>Мин.</t>
  </si>
  <si>
    <t>Мусс из яблок</t>
  </si>
  <si>
    <t>Всего порций:</t>
  </si>
  <si>
    <t>Яблоки</t>
  </si>
  <si>
    <t>Сахар</t>
  </si>
  <si>
    <t>Желатин</t>
  </si>
  <si>
    <t>Вода</t>
  </si>
  <si>
    <t>Продукт</t>
  </si>
  <si>
    <t>Раскладка на одну порцию (г.)</t>
  </si>
  <si>
    <t>Всего (г)</t>
  </si>
  <si>
    <t>Стоимость кг, в рублях</t>
  </si>
  <si>
    <t>Стоимость продукта, в рублях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</si>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</sst>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workbookViewId="0">
      <selection activeCell="I26" sqref="I26"/>
    </sheetView>
  </sheetViews>
  <sheetFormatPr defaultRowHeight="15" x14ac:dyDescent="0.25"/>
  <cols>
    <col min="2" max="2" width="19.140625" customWidth="1"/>
  </cols>
  <sheetData>
    <row r="1" spans="2:8" x14ac:dyDescent="0.25">
      <c r="B1" s="1"/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12</v>
      </c>
    </row>
    <row r="2" spans="2:8" x14ac:dyDescent="0.25">
      <c r="B2" s="1" t="s">
        <v>0</v>
      </c>
      <c r="C2" s="1">
        <v>12500</v>
      </c>
      <c r="D2" s="1">
        <v>13750</v>
      </c>
      <c r="E2" s="1">
        <v>11200</v>
      </c>
      <c r="F2" s="1">
        <f>SUM(C2:E2)</f>
        <v>37450</v>
      </c>
      <c r="G2" s="1">
        <f>AVERAGE(C2:E2)</f>
        <v>12483.333333333334</v>
      </c>
      <c r="H2" s="1">
        <f>IF(F2 &gt; 50000,F2 * 0.1,0)</f>
        <v>0</v>
      </c>
    </row>
    <row r="3" spans="2:8" x14ac:dyDescent="0.25">
      <c r="B3" s="1" t="s">
        <v>1</v>
      </c>
      <c r="C3" s="1">
        <v>14100</v>
      </c>
      <c r="D3" s="1">
        <v>10500</v>
      </c>
      <c r="E3" s="1">
        <v>12350</v>
      </c>
      <c r="F3" s="1">
        <f t="shared" ref="F3:F6" si="0">SUM(C3:E3)</f>
        <v>36950</v>
      </c>
      <c r="G3" s="1">
        <f>AVERAGE(C3:E3)</f>
        <v>12316.666666666666</v>
      </c>
      <c r="H3" s="1">
        <f t="shared" ref="H3:H6" si="1">IF(F3 &gt; 50000,F3 * 0.1,0)</f>
        <v>0</v>
      </c>
    </row>
    <row r="4" spans="2:8" x14ac:dyDescent="0.25">
      <c r="B4" s="1" t="s">
        <v>2</v>
      </c>
      <c r="C4" s="1">
        <v>12350</v>
      </c>
      <c r="D4" s="1">
        <v>35000</v>
      </c>
      <c r="E4" s="1">
        <v>11250</v>
      </c>
      <c r="F4" s="1">
        <f t="shared" si="0"/>
        <v>58600</v>
      </c>
      <c r="G4" s="1">
        <f>AVERAGE(C4:E4)</f>
        <v>19533.333333333332</v>
      </c>
      <c r="H4" s="1">
        <f t="shared" si="1"/>
        <v>5860</v>
      </c>
    </row>
    <row r="5" spans="2:8" x14ac:dyDescent="0.25">
      <c r="B5" s="1" t="s">
        <v>3</v>
      </c>
      <c r="C5" s="1">
        <v>11050</v>
      </c>
      <c r="D5" s="1">
        <v>10950</v>
      </c>
      <c r="E5" s="1">
        <v>23200</v>
      </c>
      <c r="F5" s="1">
        <f t="shared" si="0"/>
        <v>45200</v>
      </c>
      <c r="G5" s="1">
        <f>AVERAGE(C5:E5)</f>
        <v>15066.666666666666</v>
      </c>
      <c r="H5" s="1">
        <f t="shared" si="1"/>
        <v>0</v>
      </c>
    </row>
    <row r="6" spans="2:8" x14ac:dyDescent="0.25">
      <c r="B6" s="1" t="s">
        <v>4</v>
      </c>
      <c r="C6" s="1">
        <v>21550</v>
      </c>
      <c r="D6" s="1">
        <v>12250</v>
      </c>
      <c r="E6" s="1">
        <v>10500</v>
      </c>
      <c r="F6" s="1">
        <f t="shared" si="0"/>
        <v>44300</v>
      </c>
      <c r="G6" s="1">
        <f>AVERAGE(C6:E6)</f>
        <v>14766.666666666666</v>
      </c>
      <c r="H6" s="1">
        <f t="shared" si="1"/>
        <v>0</v>
      </c>
    </row>
    <row r="8" spans="2:8" x14ac:dyDescent="0.25">
      <c r="B8" s="1" t="s">
        <v>10</v>
      </c>
      <c r="C8" s="1">
        <f>MAX(C2:C6)</f>
        <v>21550</v>
      </c>
      <c r="E8" t="s">
        <v>13</v>
      </c>
    </row>
    <row r="9" spans="2:8" x14ac:dyDescent="0.25">
      <c r="B9" s="1" t="s">
        <v>11</v>
      </c>
      <c r="C9" s="1">
        <f>MIN(C2:C6)</f>
        <v>11050</v>
      </c>
      <c r="E9" t="str">
        <f>CONCATENATE(B2, " ", B5)</f>
        <v>Иванов Иван Ольга Иванова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A4ED-1249-4801-ACAE-B36741EC5D54}">
  <dimension ref="B2:D9"/>
  <sheetViews>
    <sheetView workbookViewId="0">
      <selection activeCell="F2" sqref="F2"/>
    </sheetView>
  </sheetViews>
  <sheetFormatPr defaultRowHeight="15" x14ac:dyDescent="0.25"/>
  <cols>
    <col min="2" max="2" width="14.140625" customWidth="1"/>
    <col min="3" max="4" width="13.28515625" customWidth="1"/>
  </cols>
  <sheetData>
    <row r="2" spans="2:4" x14ac:dyDescent="0.25">
      <c r="B2" s="1" t="s">
        <v>14</v>
      </c>
      <c r="C2" s="1" t="s">
        <v>15</v>
      </c>
      <c r="D2" s="1" t="s">
        <v>16</v>
      </c>
    </row>
    <row r="3" spans="2:4" x14ac:dyDescent="0.25">
      <c r="B3" s="1" t="s">
        <v>19</v>
      </c>
      <c r="C3" s="3">
        <v>650</v>
      </c>
      <c r="D3" s="4">
        <f>C3 * $C$9</f>
        <v>54697.500000000007</v>
      </c>
    </row>
    <row r="4" spans="2:4" x14ac:dyDescent="0.25">
      <c r="B4" s="1" t="s">
        <v>20</v>
      </c>
      <c r="C4" s="3">
        <v>700</v>
      </c>
      <c r="D4" s="4">
        <f>C4 * $C$9</f>
        <v>58905.000000000007</v>
      </c>
    </row>
    <row r="5" spans="2:4" x14ac:dyDescent="0.25">
      <c r="B5" s="1" t="s">
        <v>21</v>
      </c>
      <c r="C5" s="3">
        <v>775</v>
      </c>
      <c r="D5" s="4">
        <f>C5 * $C$9</f>
        <v>65216.250000000007</v>
      </c>
    </row>
    <row r="6" spans="2:4" x14ac:dyDescent="0.25">
      <c r="B6" s="1" t="s">
        <v>18</v>
      </c>
      <c r="C6" s="3">
        <v>850</v>
      </c>
      <c r="D6" s="4">
        <f>C6 * $C$9</f>
        <v>71527.5</v>
      </c>
    </row>
    <row r="7" spans="2:4" x14ac:dyDescent="0.25">
      <c r="B7" s="1" t="s">
        <v>17</v>
      </c>
      <c r="C7" s="3">
        <v>1100</v>
      </c>
      <c r="D7" s="4">
        <f>C7 * $C$9</f>
        <v>92565</v>
      </c>
    </row>
    <row r="9" spans="2:4" x14ac:dyDescent="0.25">
      <c r="B9" s="1" t="s">
        <v>22</v>
      </c>
      <c r="C9" s="4">
        <v>84.15</v>
      </c>
    </row>
  </sheetData>
  <sortState xmlns:xlrd2="http://schemas.microsoft.com/office/spreadsheetml/2017/richdata2" ref="B3:D7">
    <sortCondition ref="C3:C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13B3-8E4A-4919-88A7-99EC0968864E}">
  <dimension ref="B2:F13"/>
  <sheetViews>
    <sheetView tabSelected="1" view="pageLayout" zoomScaleNormal="100" workbookViewId="0">
      <selection activeCell="C11" sqref="C11"/>
    </sheetView>
  </sheetViews>
  <sheetFormatPr defaultRowHeight="15" x14ac:dyDescent="0.25"/>
  <cols>
    <col min="2" max="2" width="13.7109375" customWidth="1"/>
  </cols>
  <sheetData>
    <row r="2" spans="2:6" x14ac:dyDescent="0.25">
      <c r="B2" s="1" t="s">
        <v>23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2:6" x14ac:dyDescent="0.25">
      <c r="B3" s="1" t="s">
        <v>24</v>
      </c>
      <c r="C3" s="1">
        <v>-10</v>
      </c>
      <c r="D3" s="1">
        <v>-9</v>
      </c>
      <c r="E3" s="1">
        <v>-7</v>
      </c>
      <c r="F3" s="1">
        <v>0</v>
      </c>
    </row>
    <row r="4" spans="2:6" x14ac:dyDescent="0.25">
      <c r="B4" s="1" t="s">
        <v>25</v>
      </c>
      <c r="C4" s="1">
        <v>-8</v>
      </c>
      <c r="D4" s="1">
        <v>-6</v>
      </c>
      <c r="E4" s="1">
        <v>-5</v>
      </c>
      <c r="F4" s="1">
        <v>-1</v>
      </c>
    </row>
    <row r="5" spans="2:6" x14ac:dyDescent="0.25">
      <c r="B5" s="1" t="s">
        <v>26</v>
      </c>
      <c r="C5" s="1">
        <v>-15</v>
      </c>
      <c r="D5" s="1">
        <v>-10</v>
      </c>
      <c r="E5" s="1">
        <v>-4</v>
      </c>
      <c r="F5" s="1">
        <v>-2</v>
      </c>
    </row>
    <row r="6" spans="2:6" x14ac:dyDescent="0.25">
      <c r="B6" s="1" t="s">
        <v>27</v>
      </c>
      <c r="C6" s="1">
        <v>-6</v>
      </c>
      <c r="D6" s="1">
        <v>-4</v>
      </c>
      <c r="E6" s="1">
        <v>-3</v>
      </c>
      <c r="F6" s="1">
        <v>4</v>
      </c>
    </row>
    <row r="7" spans="2:6" x14ac:dyDescent="0.25">
      <c r="B7" s="1" t="s">
        <v>28</v>
      </c>
      <c r="C7" s="1">
        <v>-2</v>
      </c>
      <c r="D7" s="1">
        <v>-3</v>
      </c>
      <c r="E7" s="1">
        <v>-6</v>
      </c>
      <c r="F7" s="1">
        <v>3</v>
      </c>
    </row>
    <row r="8" spans="2:6" x14ac:dyDescent="0.25">
      <c r="B8" s="1" t="s">
        <v>29</v>
      </c>
      <c r="C8" s="1">
        <v>0</v>
      </c>
      <c r="D8" s="1">
        <v>-2</v>
      </c>
      <c r="E8" s="1">
        <v>-2</v>
      </c>
      <c r="F8" s="1">
        <v>-2</v>
      </c>
    </row>
    <row r="9" spans="2:6" x14ac:dyDescent="0.25">
      <c r="B9" s="1" t="s">
        <v>30</v>
      </c>
      <c r="C9" s="1">
        <v>-11</v>
      </c>
      <c r="D9" s="1">
        <v>-1</v>
      </c>
      <c r="E9" s="1">
        <v>0</v>
      </c>
      <c r="F9" s="1">
        <v>8</v>
      </c>
    </row>
    <row r="11" spans="2:6" x14ac:dyDescent="0.25">
      <c r="B11" s="1" t="s">
        <v>35</v>
      </c>
      <c r="C11" s="1">
        <f>ROUND(AVERAGE(C3:C9),1)</f>
        <v>-7.4</v>
      </c>
      <c r="D11" s="1">
        <f t="shared" ref="D11:F11" si="0">ROUND(AVERAGE(D3:D9),1)</f>
        <v>-5</v>
      </c>
      <c r="E11" s="1">
        <f t="shared" si="0"/>
        <v>-3.9</v>
      </c>
      <c r="F11" s="1">
        <f t="shared" si="0"/>
        <v>1.4</v>
      </c>
    </row>
    <row r="12" spans="2:6" x14ac:dyDescent="0.25">
      <c r="B12" s="1" t="s">
        <v>36</v>
      </c>
      <c r="C12" s="1">
        <f>MAX(C3:C9)</f>
        <v>0</v>
      </c>
      <c r="D12" s="1">
        <f t="shared" ref="D12:F12" si="1">MAX(D3:D9)</f>
        <v>-1</v>
      </c>
      <c r="E12" s="1">
        <f t="shared" si="1"/>
        <v>0</v>
      </c>
      <c r="F12" s="1">
        <f t="shared" si="1"/>
        <v>8</v>
      </c>
    </row>
    <row r="13" spans="2:6" x14ac:dyDescent="0.25">
      <c r="B13" s="1" t="s">
        <v>37</v>
      </c>
      <c r="C13" s="1">
        <f>MIN(C3:C9)</f>
        <v>-15</v>
      </c>
      <c r="D13" s="1">
        <f t="shared" ref="D13:F13" si="2">MIN(D3:D9)</f>
        <v>-10</v>
      </c>
      <c r="E13" s="1">
        <f t="shared" si="2"/>
        <v>-7</v>
      </c>
      <c r="F13" s="1">
        <f t="shared" si="2"/>
        <v>-2</v>
      </c>
    </row>
  </sheetData>
  <pageMargins left="0.7" right="0.7" top="0.75" bottom="0.75" header="0.3" footer="0.3"/>
  <pageSetup paperSize="9" orientation="portrait" r:id="rId1"/>
  <headerFooter>
    <oddHeader>&amp;CМартьянов, 11ОП</oddHeader>
    <oddFooter>&amp;CПогода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F780-D82D-4B36-85E9-F589FE3B5F69}">
  <dimension ref="A1:E9"/>
  <sheetViews>
    <sheetView view="pageLayout" topLeftCell="A18" zoomScaleNormal="100" workbookViewId="0">
      <selection activeCell="E4" sqref="E4"/>
    </sheetView>
  </sheetViews>
  <sheetFormatPr defaultRowHeight="15" x14ac:dyDescent="0.25"/>
  <cols>
    <col min="1" max="1" width="14.5703125" customWidth="1"/>
    <col min="2" max="2" width="16.140625" customWidth="1"/>
    <col min="4" max="4" width="13.85546875" customWidth="1"/>
    <col min="5" max="5" width="14.42578125" customWidth="1"/>
  </cols>
  <sheetData>
    <row r="1" spans="1:5" x14ac:dyDescent="0.25">
      <c r="A1" s="7" t="s">
        <v>38</v>
      </c>
      <c r="B1" s="7"/>
      <c r="C1" s="7"/>
      <c r="D1" s="7"/>
      <c r="E1" s="7"/>
    </row>
    <row r="2" spans="1:5" x14ac:dyDescent="0.25">
      <c r="A2" s="5" t="s">
        <v>39</v>
      </c>
      <c r="B2" s="8">
        <v>5</v>
      </c>
      <c r="C2" s="8"/>
      <c r="D2" s="8"/>
      <c r="E2" s="8"/>
    </row>
    <row r="3" spans="1:5" ht="44.25" customHeight="1" x14ac:dyDescent="0.25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</row>
    <row r="4" spans="1:5" x14ac:dyDescent="0.25">
      <c r="A4" s="1" t="s">
        <v>40</v>
      </c>
      <c r="B4" s="1">
        <v>57</v>
      </c>
      <c r="C4" s="1">
        <f>$B$2 * B4</f>
        <v>285</v>
      </c>
      <c r="D4" s="4">
        <v>60</v>
      </c>
      <c r="E4" s="4">
        <f>D4/1000 * B4 * $B$2</f>
        <v>17.100000000000001</v>
      </c>
    </row>
    <row r="5" spans="1:5" x14ac:dyDescent="0.25">
      <c r="A5" s="1" t="s">
        <v>41</v>
      </c>
      <c r="B5" s="1">
        <v>20</v>
      </c>
      <c r="C5" s="1">
        <f t="shared" ref="C5:C7" si="0">$B$2 * B5</f>
        <v>100</v>
      </c>
      <c r="D5" s="4">
        <v>45</v>
      </c>
      <c r="E5" s="4">
        <f t="shared" ref="E5:E7" si="1">D5/1000 * B5 * $B$2</f>
        <v>4.5</v>
      </c>
    </row>
    <row r="6" spans="1:5" x14ac:dyDescent="0.25">
      <c r="A6" s="1" t="s">
        <v>42</v>
      </c>
      <c r="B6" s="1">
        <v>3</v>
      </c>
      <c r="C6" s="1">
        <f t="shared" si="0"/>
        <v>15</v>
      </c>
      <c r="D6" s="4">
        <v>1000</v>
      </c>
      <c r="E6" s="4">
        <f t="shared" si="1"/>
        <v>15</v>
      </c>
    </row>
    <row r="7" spans="1:5" x14ac:dyDescent="0.25">
      <c r="A7" s="1" t="s">
        <v>43</v>
      </c>
      <c r="B7" s="1">
        <v>70</v>
      </c>
      <c r="C7" s="1">
        <f t="shared" si="0"/>
        <v>350</v>
      </c>
      <c r="D7" s="4">
        <v>8</v>
      </c>
      <c r="E7" s="4">
        <f t="shared" si="1"/>
        <v>2.8000000000000003</v>
      </c>
    </row>
    <row r="9" spans="1:5" x14ac:dyDescent="0.25">
      <c r="A9" s="9" t="s">
        <v>49</v>
      </c>
      <c r="B9" s="9"/>
      <c r="C9" s="9"/>
      <c r="D9" s="9"/>
      <c r="E9" s="2">
        <f>SUM(E4:E7)</f>
        <v>39.4</v>
      </c>
    </row>
  </sheetData>
  <mergeCells count="3">
    <mergeCell ref="A1:E1"/>
    <mergeCell ref="B2:E2"/>
    <mergeCell ref="A9:D9"/>
  </mergeCells>
  <pageMargins left="0.7" right="0.7" top="0.75" bottom="0.75" header="0.3" footer="0.3"/>
  <pageSetup paperSize="9" orientation="portrait" r:id="rId1"/>
  <headerFooter>
    <oddHeader>&amp;CМартьянов, 11ОП</oddHeader>
    <oddFooter>&amp;CРассчёт мусса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Погода</vt:lpstr>
      <vt:lpstr>Мусс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Майк Грей</dc:creator>
  <cp:lastModifiedBy>Майк Грей</cp:lastModifiedBy>
  <dcterms:created xsi:type="dcterms:W3CDTF">2015-06-05T18:19:34Z</dcterms:created>
  <dcterms:modified xsi:type="dcterms:W3CDTF">2026-09-28T08:42:45Z</dcterms:modified>
</cp:coreProperties>
</file>