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fb4a514811215b/Рабочий стол/Projects/Информационные технологии в проф. деятельности/Практическая 6/"/>
    </mc:Choice>
  </mc:AlternateContent>
  <xr:revisionPtr revIDLastSave="1" documentId="11_AD4DF75460589B3ACB728462AFDF77D25ADEDD93" xr6:coauthVersionLast="47" xr6:coauthVersionMax="47" xr10:uidLastSave="{833C21DD-36D3-46ED-89E2-92B0BAC618A3}"/>
  <bookViews>
    <workbookView xWindow="-120" yWindow="-120" windowWidth="29040" windowHeight="15720" xr2:uid="{00000000-000D-0000-FFFF-FFFF00000000}"/>
  </bookViews>
  <sheets>
    <sheet name="Филиал 1" sheetId="1" r:id="rId1"/>
    <sheet name="Филиал 2" sheetId="3" r:id="rId2"/>
    <sheet name="Свод" sheetId="2" r:id="rId3"/>
    <sheet name="Таблица продаж" sheetId="4" r:id="rId4"/>
    <sheet name="Свод продаж" sheetId="5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 s="1"/>
  <c r="D2" i="2"/>
  <c r="D3" i="2" s="1"/>
  <c r="C4" i="2"/>
  <c r="C5" i="2" s="1"/>
  <c r="D4" i="2"/>
  <c r="D5" i="2"/>
  <c r="C6" i="2"/>
  <c r="D6" i="2"/>
  <c r="D7" i="2" s="1"/>
  <c r="C7" i="2"/>
  <c r="C8" i="2"/>
  <c r="C9" i="2" s="1"/>
  <c r="D8" i="2"/>
  <c r="D9" i="2" s="1"/>
  <c r="C10" i="2"/>
  <c r="C11" i="2" s="1"/>
  <c r="D10" i="2"/>
  <c r="D11" i="2" s="1"/>
  <c r="C12" i="2"/>
  <c r="D12" i="2"/>
  <c r="D13" i="2" s="1"/>
  <c r="C13" i="2"/>
</calcChain>
</file>

<file path=xl/sharedStrings.xml><?xml version="1.0" encoding="utf-8"?>
<sst xmlns="http://schemas.openxmlformats.org/spreadsheetml/2006/main" count="53" uniqueCount="25">
  <si>
    <t>Дата приёма</t>
  </si>
  <si>
    <t>Оклад</t>
  </si>
  <si>
    <t>ФИО сотрудника</t>
  </si>
  <si>
    <t>Иванов Иван Иванович</t>
  </si>
  <si>
    <t>Зайцев Сергей Иванович</t>
  </si>
  <si>
    <t>Джугашвили Иосиф Виссарионович</t>
  </si>
  <si>
    <t>Сергеев Иван Анатольевич</t>
  </si>
  <si>
    <t>Смирнов Андрей Иванович</t>
  </si>
  <si>
    <t>Новожилов Данила Семёнович</t>
  </si>
  <si>
    <t>Мартьянов, 6Пр</t>
  </si>
  <si>
    <t>Дата</t>
  </si>
  <si>
    <t>Менеджер</t>
  </si>
  <si>
    <t>Товар</t>
  </si>
  <si>
    <t>Сумма продаж</t>
  </si>
  <si>
    <t>Иванов И.И.</t>
  </si>
  <si>
    <t>Смирнов И.А.</t>
  </si>
  <si>
    <t>Новиков А.И.</t>
  </si>
  <si>
    <t>Зайцев В.О.</t>
  </si>
  <si>
    <t>Ручка</t>
  </si>
  <si>
    <t>Принтер</t>
  </si>
  <si>
    <t>Карандаш</t>
  </si>
  <si>
    <t>Тетради</t>
  </si>
  <si>
    <t>Названия строк</t>
  </si>
  <si>
    <t>Общий итог</t>
  </si>
  <si>
    <t>Сумма по полю Сумма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</si>
</sst>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wrapText="1"/>
      <protection locked="0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йк Грей" refreshedDate="46300.428967129628" createdVersion="8" refreshedVersion="8" minRefreshableVersion="3" recordCount="8" xr:uid="{9865C560-BB03-4BEE-9BCC-9B931EE2E582}">
  <cacheSource type="worksheet">
    <worksheetSource ref="B2:E10" sheet="Таблица продаж"/>
  </cacheSource>
  <cacheFields count="4">
    <cacheField name="Дата" numFmtId="14">
      <sharedItems containsSemiMixedTypes="0" containsNonDate="0" containsDate="1" containsString="0" minDate="2003-03-02T00:00:00" maxDate="2003-03-06T00:00:00"/>
    </cacheField>
    <cacheField name="Менеджер" numFmtId="0">
      <sharedItems count="4">
        <s v="Иванов И.И."/>
        <s v="Смирнов И.А."/>
        <s v="Новиков А.И."/>
        <s v="Зайцев В.О."/>
      </sharedItems>
    </cacheField>
    <cacheField name="Товар" numFmtId="0">
      <sharedItems count="4">
        <s v="Ручка"/>
        <s v="Принтер"/>
        <s v="Карандаш"/>
        <s v="Тетради"/>
      </sharedItems>
    </cacheField>
    <cacheField name="Сумма продаж" numFmtId="166">
      <sharedItems containsSemiMixedTypes="0" containsString="0" containsNumber="1" containsInteger="1" minValue="45" maxValue="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03-03-02T00:00:00"/>
    <x v="0"/>
    <x v="0"/>
    <n v="75"/>
  </r>
  <r>
    <d v="2003-03-02T00:00:00"/>
    <x v="1"/>
    <x v="1"/>
    <n v="5500"/>
  </r>
  <r>
    <d v="2003-03-02T00:00:00"/>
    <x v="2"/>
    <x v="2"/>
    <n v="45"/>
  </r>
  <r>
    <d v="2003-03-03T00:00:00"/>
    <x v="3"/>
    <x v="0"/>
    <n v="75"/>
  </r>
  <r>
    <d v="2003-03-04T00:00:00"/>
    <x v="1"/>
    <x v="0"/>
    <n v="75"/>
  </r>
  <r>
    <d v="2003-03-04T00:00:00"/>
    <x v="0"/>
    <x v="3"/>
    <n v="65"/>
  </r>
  <r>
    <d v="2003-03-04T00:00:00"/>
    <x v="1"/>
    <x v="3"/>
    <n v="65"/>
  </r>
  <r>
    <d v="2003-03-05T00:00:00"/>
    <x v="0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4F009-45CD-40FE-9313-8B3590DA757E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4">
    <pivotField numFmtId="14" showAll="0"/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numFmtId="166" showAll="0"/>
  </pivotFields>
  <rowFields count="1">
    <field x="2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1" item="1" hier="-1"/>
  </pageFields>
  <dataFields count="1">
    <dataField name="Сумма по полю Сумма продаж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G5" sqref="G5"/>
    </sheetView>
  </sheetViews>
  <sheetFormatPr defaultRowHeight="15" x14ac:dyDescent="0.25"/>
  <cols>
    <col min="2" max="2" width="16.42578125" customWidth="1"/>
    <col min="3" max="3" width="14.7109375" customWidth="1"/>
  </cols>
  <sheetData>
    <row r="2" spans="2:4" s="1" customFormat="1" ht="18.75" customHeight="1" x14ac:dyDescent="0.25">
      <c r="B2" s="3" t="s">
        <v>2</v>
      </c>
      <c r="C2" s="3" t="s">
        <v>0</v>
      </c>
      <c r="D2" s="3" t="s">
        <v>1</v>
      </c>
    </row>
    <row r="3" spans="2:4" s="1" customFormat="1" ht="30" x14ac:dyDescent="0.25">
      <c r="B3" s="5" t="s">
        <v>3</v>
      </c>
      <c r="C3" s="4">
        <v>39448</v>
      </c>
      <c r="D3" s="6">
        <v>21000</v>
      </c>
    </row>
    <row r="4" spans="2:4" s="1" customFormat="1" ht="30" x14ac:dyDescent="0.25">
      <c r="B4" s="5" t="s">
        <v>4</v>
      </c>
      <c r="C4" s="4">
        <v>40088</v>
      </c>
      <c r="D4" s="6">
        <v>35000</v>
      </c>
    </row>
    <row r="5" spans="2:4" s="1" customFormat="1" ht="45" x14ac:dyDescent="0.25">
      <c r="B5" s="5" t="s">
        <v>5</v>
      </c>
      <c r="C5" s="4">
        <v>40131</v>
      </c>
      <c r="D5" s="6">
        <v>20001</v>
      </c>
    </row>
    <row r="6" spans="2:4" s="1" customFormat="1" ht="30" x14ac:dyDescent="0.25">
      <c r="B6" s="5" t="s">
        <v>6</v>
      </c>
      <c r="C6" s="4">
        <v>40261</v>
      </c>
      <c r="D6" s="6">
        <v>31500</v>
      </c>
    </row>
    <row r="7" spans="2:4" s="1" customFormat="1" x14ac:dyDescent="0.25"/>
  </sheetData>
  <dataValidations count="1">
    <dataValidation type="decimal" operator="greaterThanOrEqual" allowBlank="1" showInputMessage="1" showErrorMessage="1" errorTitle="ЗНАЧ" error="Оклад не может быть ниже МРОТ" sqref="D3:D6" xr:uid="{6341EB0F-6881-4DFC-9A1F-83E6E7C7FDDF}">
      <formula1>20000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14C0-5D49-4283-BE11-705603EF6FE2}">
  <dimension ref="B2:D7"/>
  <sheetViews>
    <sheetView workbookViewId="0">
      <selection activeCell="F6" sqref="F6"/>
    </sheetView>
  </sheetViews>
  <sheetFormatPr defaultRowHeight="15" x14ac:dyDescent="0.25"/>
  <cols>
    <col min="2" max="2" width="16.42578125" customWidth="1"/>
    <col min="3" max="3" width="14.7109375" customWidth="1"/>
  </cols>
  <sheetData>
    <row r="2" spans="2:4" s="1" customFormat="1" ht="18.75" customHeight="1" x14ac:dyDescent="0.25">
      <c r="B2" s="3" t="s">
        <v>2</v>
      </c>
      <c r="C2" s="3" t="s">
        <v>0</v>
      </c>
      <c r="D2" s="3" t="s">
        <v>1</v>
      </c>
    </row>
    <row r="3" spans="2:4" s="1" customFormat="1" ht="45" x14ac:dyDescent="0.25">
      <c r="B3" s="5" t="s">
        <v>7</v>
      </c>
      <c r="C3" s="4">
        <v>39448</v>
      </c>
      <c r="D3" s="6">
        <v>21050</v>
      </c>
    </row>
    <row r="4" spans="2:4" s="1" customFormat="1" ht="30" x14ac:dyDescent="0.25">
      <c r="B4" s="5" t="s">
        <v>4</v>
      </c>
      <c r="C4" s="4">
        <v>40088</v>
      </c>
      <c r="D4" s="6">
        <v>35000</v>
      </c>
    </row>
    <row r="5" spans="2:4" s="1" customFormat="1" x14ac:dyDescent="0.25">
      <c r="B5" s="7"/>
      <c r="C5" s="8"/>
      <c r="D5" s="9"/>
    </row>
    <row r="6" spans="2:4" s="1" customFormat="1" x14ac:dyDescent="0.25">
      <c r="B6" s="7"/>
      <c r="C6" s="8"/>
      <c r="D6" s="9"/>
    </row>
    <row r="7" spans="2:4" s="1" customFormat="1" x14ac:dyDescent="0.25"/>
  </sheetData>
  <dataValidations count="1">
    <dataValidation type="decimal" operator="greaterThanOrEqual" allowBlank="1" showInputMessage="1" showErrorMessage="1" errorTitle="ЗНАЧ" error="Оклад не может быть ниже МРОТ" sqref="D3:D6" xr:uid="{7CC3E74B-D003-426C-A056-0D666EFFE791}">
      <formula1>20000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A216-868D-440B-9895-9005622A0747}">
  <dimension ref="A1:D13"/>
  <sheetViews>
    <sheetView workbookViewId="0">
      <selection activeCell="J18" sqref="J18"/>
    </sheetView>
  </sheetViews>
  <sheetFormatPr defaultRowHeight="15" outlineLevelRow="1" x14ac:dyDescent="0.25"/>
  <cols>
    <col min="1" max="1" width="15.85546875" style="1" customWidth="1"/>
    <col min="2" max="2" width="6.28515625" style="1" customWidth="1"/>
    <col min="3" max="4" width="9.140625" style="1"/>
  </cols>
  <sheetData>
    <row r="1" spans="1:4" ht="30" x14ac:dyDescent="0.25">
      <c r="A1" s="1" t="s">
        <v>2</v>
      </c>
    </row>
    <row r="2" spans="1:4" ht="45" hidden="1" outlineLevel="1" x14ac:dyDescent="0.25">
      <c r="B2" s="1" t="s">
        <v>9</v>
      </c>
      <c r="C2" s="2">
        <f>'Филиал 1'!$C$3</f>
        <v>39448</v>
      </c>
      <c r="D2" s="1">
        <f>'Филиал 1'!$D$3</f>
        <v>21000</v>
      </c>
    </row>
    <row r="3" spans="1:4" ht="30" collapsed="1" x14ac:dyDescent="0.25">
      <c r="A3" s="1" t="s">
        <v>3</v>
      </c>
      <c r="C3" s="2">
        <f>SUM(C2)</f>
        <v>39448</v>
      </c>
      <c r="D3" s="1">
        <f>SUM(D2)</f>
        <v>21000</v>
      </c>
    </row>
    <row r="4" spans="1:4" ht="45" hidden="1" outlineLevel="1" x14ac:dyDescent="0.25">
      <c r="B4" s="1" t="s">
        <v>9</v>
      </c>
      <c r="C4" s="2">
        <f>'Филиал 1'!$C$4</f>
        <v>40088</v>
      </c>
      <c r="D4" s="1">
        <f>'Филиал 1'!$D$4</f>
        <v>35000</v>
      </c>
    </row>
    <row r="5" spans="1:4" ht="30" collapsed="1" x14ac:dyDescent="0.25">
      <c r="A5" s="1" t="s">
        <v>4</v>
      </c>
      <c r="C5" s="2">
        <f>SUM(C4)</f>
        <v>40088</v>
      </c>
      <c r="D5" s="1">
        <f>SUM(D4)</f>
        <v>35000</v>
      </c>
    </row>
    <row r="6" spans="1:4" ht="45" hidden="1" outlineLevel="1" x14ac:dyDescent="0.25">
      <c r="B6" s="1" t="s">
        <v>9</v>
      </c>
      <c r="C6" s="2">
        <f>'Филиал 1'!$C$5</f>
        <v>40131</v>
      </c>
      <c r="D6" s="1">
        <f>'Филиал 1'!$D$5</f>
        <v>20001</v>
      </c>
    </row>
    <row r="7" spans="1:4" ht="45" collapsed="1" x14ac:dyDescent="0.25">
      <c r="A7" s="1" t="s">
        <v>5</v>
      </c>
      <c r="C7" s="2">
        <f>SUM(C6)</f>
        <v>40131</v>
      </c>
      <c r="D7" s="1">
        <f>SUM(D6)</f>
        <v>20001</v>
      </c>
    </row>
    <row r="8" spans="1:4" ht="45" hidden="1" outlineLevel="1" x14ac:dyDescent="0.25">
      <c r="B8" s="1" t="s">
        <v>9</v>
      </c>
      <c r="C8" s="2">
        <f>'Филиал 1'!$C$6</f>
        <v>40261</v>
      </c>
      <c r="D8" s="1">
        <f>'Филиал 1'!$D$6</f>
        <v>31500</v>
      </c>
    </row>
    <row r="9" spans="1:4" ht="30" collapsed="1" x14ac:dyDescent="0.25">
      <c r="A9" s="1" t="s">
        <v>6</v>
      </c>
      <c r="C9" s="2">
        <f>SUM(C8)</f>
        <v>40261</v>
      </c>
      <c r="D9" s="1">
        <f>SUM(D8)</f>
        <v>31500</v>
      </c>
    </row>
    <row r="10" spans="1:4" ht="45" hidden="1" outlineLevel="1" x14ac:dyDescent="0.25">
      <c r="B10" s="1" t="s">
        <v>9</v>
      </c>
      <c r="C10" s="2">
        <f>'Филиал 2'!$C$3</f>
        <v>39448</v>
      </c>
      <c r="D10" s="1">
        <f>'Филиал 2'!$D$3</f>
        <v>21050</v>
      </c>
    </row>
    <row r="11" spans="1:4" ht="45" collapsed="1" x14ac:dyDescent="0.25">
      <c r="A11" s="1" t="s">
        <v>7</v>
      </c>
      <c r="C11" s="2">
        <f>SUM(C10)</f>
        <v>39448</v>
      </c>
      <c r="D11" s="1">
        <f>SUM(D10)</f>
        <v>21050</v>
      </c>
    </row>
    <row r="12" spans="1:4" ht="45" hidden="1" outlineLevel="1" x14ac:dyDescent="0.25">
      <c r="B12" s="1" t="s">
        <v>9</v>
      </c>
      <c r="C12" s="2">
        <f>'Филиал 2'!$C$4</f>
        <v>40088</v>
      </c>
      <c r="D12" s="1">
        <f>'Филиал 2'!$D$4</f>
        <v>35000</v>
      </c>
    </row>
    <row r="13" spans="1:4" ht="45" collapsed="1" x14ac:dyDescent="0.25">
      <c r="A13" s="1" t="s">
        <v>8</v>
      </c>
      <c r="C13" s="2">
        <f>SUM(C12)</f>
        <v>40088</v>
      </c>
      <c r="D13" s="1">
        <f>SUM(D12)</f>
        <v>35000</v>
      </c>
    </row>
  </sheetData>
  <dataConsolidate leftLabels="1" link="1">
    <dataRefs count="2">
      <dataRef ref="B2:D6" sheet="Филиал 1"/>
      <dataRef ref="B2:D4" sheet="Филиал 2"/>
    </dataRefs>
  </dataConsolid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8519-1ED3-453C-AE75-CB549EDA5159}">
  <dimension ref="B2:E10"/>
  <sheetViews>
    <sheetView workbookViewId="0">
      <selection activeCell="B2" sqref="B2:E10"/>
    </sheetView>
  </sheetViews>
  <sheetFormatPr defaultRowHeight="15" x14ac:dyDescent="0.25"/>
  <cols>
    <col min="2" max="2" width="10.140625" bestFit="1" customWidth="1"/>
    <col min="3" max="3" width="14.140625" customWidth="1"/>
    <col min="4" max="4" width="10.28515625" customWidth="1"/>
    <col min="5" max="5" width="14.85546875" customWidth="1"/>
  </cols>
  <sheetData>
    <row r="2" spans="2:5" x14ac:dyDescent="0.25">
      <c r="B2" s="10" t="s">
        <v>10</v>
      </c>
      <c r="C2" s="10" t="s">
        <v>11</v>
      </c>
      <c r="D2" s="10" t="s">
        <v>12</v>
      </c>
      <c r="E2" s="10" t="s">
        <v>13</v>
      </c>
    </row>
    <row r="3" spans="2:5" x14ac:dyDescent="0.25">
      <c r="B3" s="11">
        <v>37682</v>
      </c>
      <c r="C3" s="10" t="s">
        <v>14</v>
      </c>
      <c r="D3" s="12" t="s">
        <v>18</v>
      </c>
      <c r="E3" s="13">
        <v>75</v>
      </c>
    </row>
    <row r="4" spans="2:5" x14ac:dyDescent="0.25">
      <c r="B4" s="11">
        <v>37682</v>
      </c>
      <c r="C4" s="10" t="s">
        <v>15</v>
      </c>
      <c r="D4" s="12" t="s">
        <v>19</v>
      </c>
      <c r="E4" s="13">
        <v>5500</v>
      </c>
    </row>
    <row r="5" spans="2:5" x14ac:dyDescent="0.25">
      <c r="B5" s="11">
        <v>37682</v>
      </c>
      <c r="C5" s="10" t="s">
        <v>16</v>
      </c>
      <c r="D5" s="12" t="s">
        <v>20</v>
      </c>
      <c r="E5" s="13">
        <v>45</v>
      </c>
    </row>
    <row r="6" spans="2:5" x14ac:dyDescent="0.25">
      <c r="B6" s="11">
        <v>37683</v>
      </c>
      <c r="C6" s="10" t="s">
        <v>17</v>
      </c>
      <c r="D6" s="12" t="s">
        <v>18</v>
      </c>
      <c r="E6" s="13">
        <v>75</v>
      </c>
    </row>
    <row r="7" spans="2:5" x14ac:dyDescent="0.25">
      <c r="B7" s="11">
        <v>37684</v>
      </c>
      <c r="C7" s="10" t="s">
        <v>15</v>
      </c>
      <c r="D7" s="12" t="s">
        <v>18</v>
      </c>
      <c r="E7" s="13">
        <v>75</v>
      </c>
    </row>
    <row r="8" spans="2:5" x14ac:dyDescent="0.25">
      <c r="B8" s="11">
        <v>37684</v>
      </c>
      <c r="C8" s="10" t="s">
        <v>14</v>
      </c>
      <c r="D8" s="12" t="s">
        <v>21</v>
      </c>
      <c r="E8" s="13">
        <v>65</v>
      </c>
    </row>
    <row r="9" spans="2:5" x14ac:dyDescent="0.25">
      <c r="B9" s="11">
        <v>37684</v>
      </c>
      <c r="C9" s="10" t="s">
        <v>15</v>
      </c>
      <c r="D9" s="12" t="s">
        <v>21</v>
      </c>
      <c r="E9" s="13">
        <v>65</v>
      </c>
    </row>
    <row r="10" spans="2:5" x14ac:dyDescent="0.25">
      <c r="B10" s="11">
        <v>37685</v>
      </c>
      <c r="C10" s="10" t="s">
        <v>14</v>
      </c>
      <c r="D10" s="12" t="s">
        <v>20</v>
      </c>
      <c r="E10" s="13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D5A7-96AE-4514-96F6-EE7D0C9D0F97}">
  <dimension ref="A1:B7"/>
  <sheetViews>
    <sheetView view="pageLayout" zoomScaleNormal="100" workbookViewId="0">
      <selection activeCell="A2" sqref="A2"/>
    </sheetView>
  </sheetViews>
  <sheetFormatPr defaultRowHeight="15" x14ac:dyDescent="0.25"/>
  <cols>
    <col min="1" max="1" width="17.28515625" bestFit="1" customWidth="1"/>
    <col min="2" max="2" width="30.5703125" bestFit="1" customWidth="1"/>
  </cols>
  <sheetData>
    <row r="1" spans="1:2" x14ac:dyDescent="0.25">
      <c r="A1" s="14" t="s">
        <v>11</v>
      </c>
      <c r="B1" t="s">
        <v>14</v>
      </c>
    </row>
    <row r="3" spans="1:2" x14ac:dyDescent="0.25">
      <c r="A3" s="14" t="s">
        <v>22</v>
      </c>
      <c r="B3" t="s">
        <v>24</v>
      </c>
    </row>
    <row r="4" spans="1:2" x14ac:dyDescent="0.25">
      <c r="A4" s="15" t="s">
        <v>20</v>
      </c>
      <c r="B4" s="16">
        <v>45</v>
      </c>
    </row>
    <row r="5" spans="1:2" x14ac:dyDescent="0.25">
      <c r="A5" s="15" t="s">
        <v>18</v>
      </c>
      <c r="B5" s="16">
        <v>75</v>
      </c>
    </row>
    <row r="6" spans="1:2" x14ac:dyDescent="0.25">
      <c r="A6" s="15" t="s">
        <v>21</v>
      </c>
      <c r="B6" s="16">
        <v>65</v>
      </c>
    </row>
    <row r="7" spans="1:2" x14ac:dyDescent="0.25">
      <c r="A7" s="15" t="s">
        <v>23</v>
      </c>
      <c r="B7" s="16">
        <v>185</v>
      </c>
    </row>
  </sheetData>
  <pageMargins left="0.7" right="0.7" top="0.75" bottom="0.75" header="0.3" footer="0.3"/>
  <pageSetup paperSize="9" orientation="portrait" r:id="rId2"/>
  <headerFooter>
    <oddHeader>&amp;C11ОП, Мартьянов Е.В.</oddHeader>
    <oddFooter>&amp;CПрактическая №6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Филиал 1</vt:lpstr>
      <vt:lpstr>Филиал 2</vt:lpstr>
      <vt:lpstr>Свод</vt:lpstr>
      <vt:lpstr>Таблица продаж</vt:lpstr>
      <vt:lpstr>Свод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>Майк Грей</cp:lastModifiedBy>
  <dcterms:created xsi:type="dcterms:W3CDTF">2015-06-05T18:19:34Z</dcterms:created>
  <dcterms:modified xsi:type="dcterms:W3CDTF">2026-10-05T07:23:07Z</dcterms:modified>
</cp:coreProperties>
</file>