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4fb4a514811215b/Рабочий стол/Projects/Информационные технологии в проф. деятельности/Практическая 7/"/>
    </mc:Choice>
  </mc:AlternateContent>
  <xr:revisionPtr revIDLastSave="1" documentId="11_AD4DF75460589B3ACB728462AFDF77D25ADEDD93" xr6:coauthVersionLast="47" xr6:coauthVersionMax="47" xr10:uidLastSave="{B2C764C0-CEA1-42C9-9441-4416F544AD26}"/>
  <bookViews>
    <workbookView xWindow="-120" yWindow="-120" windowWidth="29040" windowHeight="15720" xr2:uid="{00000000-000D-0000-FFFF-FFFF00000000}"/>
  </bookViews>
  <sheets>
    <sheet name="Реестр оптовых отгрузок электр." sheetId="1" r:id="rId1"/>
    <sheet name="Отчётная таблица" sheetId="2" r:id="rId2"/>
    <sheet name="Зачётное задание" sheetId="3" r:id="rId3"/>
  </sheets>
  <definedNames>
    <definedName name="_xlnm._FilterDatabase" localSheetId="0" hidden="1">'Реестр оптовых отгрузок электр.'!$A$1:$H$1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3" l="1" a="1"/>
  <c r="H9" i="3" s="1"/>
  <c r="H10" i="3" a="1"/>
  <c r="H10" i="3" s="1"/>
  <c r="B17" i="3"/>
  <c r="B16" i="3"/>
  <c r="B15" i="3"/>
  <c r="B14" i="3"/>
  <c r="G6" i="3"/>
  <c r="H6" i="3" s="1" a="1"/>
  <c r="H6" i="3" s="1"/>
  <c r="G7" i="3"/>
  <c r="H7" i="3" s="1" a="1"/>
  <c r="H7" i="3" s="1"/>
  <c r="G8" i="3"/>
  <c r="H8" i="3" s="1" a="1"/>
  <c r="H8" i="3" s="1"/>
  <c r="G2" i="3"/>
  <c r="H2" i="3" s="1" a="1"/>
  <c r="H2" i="3" s="1"/>
  <c r="G9" i="3"/>
  <c r="G10" i="3"/>
  <c r="G4" i="3"/>
  <c r="H4" i="3" s="1" a="1"/>
  <c r="H4" i="3" s="1"/>
  <c r="G11" i="3"/>
  <c r="H11" i="3" s="1" a="1"/>
  <c r="H11" i="3" s="1"/>
  <c r="G5" i="3"/>
  <c r="H5" i="3" s="1" a="1"/>
  <c r="H5" i="3" s="1"/>
  <c r="G3" i="3"/>
  <c r="H3" i="3" s="1" a="1"/>
  <c r="H3" i="3" s="1"/>
  <c r="C5" i="2"/>
  <c r="C4" i="2"/>
  <c r="C3" i="2"/>
  <c r="C2" i="2"/>
  <c r="H8" i="1"/>
  <c r="H4" i="1"/>
  <c r="H6" i="1"/>
  <c r="H10" i="1"/>
  <c r="H11" i="1"/>
  <c r="H2" i="1"/>
  <c r="H7" i="1"/>
  <c r="H9" i="1"/>
  <c r="H3" i="1"/>
  <c r="H5" i="1"/>
  <c r="H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<sst xmlns="http://schemas.openxmlformats.org/spreadsheetml/2006/main" count="71" uniqueCount="53">
  <si>
    <t>№ сделки</t>
  </si>
  <si>
    <t>Дата</t>
  </si>
  <si>
    <t>Регион</t>
  </si>
  <si>
    <t>Менеждер</t>
  </si>
  <si>
    <t>Товар</t>
  </si>
  <si>
    <t>Количество (шт)</t>
  </si>
  <si>
    <t>Цена за шт (руб)</t>
  </si>
  <si>
    <t>Сумма сделки (руб)</t>
  </si>
  <si>
    <t>Северо-Запад</t>
  </si>
  <si>
    <t>Центр</t>
  </si>
  <si>
    <t>Поволжье</t>
  </si>
  <si>
    <t>Юг</t>
  </si>
  <si>
    <t>Иванов</t>
  </si>
  <si>
    <t>Петров</t>
  </si>
  <si>
    <t>Сидоров</t>
  </si>
  <si>
    <t>Волков</t>
  </si>
  <si>
    <t>Ноутбук</t>
  </si>
  <si>
    <t>Смартфон</t>
  </si>
  <si>
    <t>Принтер</t>
  </si>
  <si>
    <t>Монитор</t>
  </si>
  <si>
    <t>Итого:</t>
  </si>
  <si>
    <t>Фильтр Петров:</t>
  </si>
  <si>
    <t>3 сделки</t>
  </si>
  <si>
    <t>№</t>
  </si>
  <si>
    <t>Экономический показатель</t>
  </si>
  <si>
    <t>Формула для вывода</t>
  </si>
  <si>
    <r>
      <t xml:space="preserve">Общая выручка по менеджеру </t>
    </r>
    <r>
      <rPr>
        <b/>
        <sz val="11"/>
        <color theme="1"/>
        <rFont val="Calibri"/>
        <family val="2"/>
        <charset val="204"/>
        <scheme val="minor"/>
      </rPr>
      <t>Иванов</t>
    </r>
  </si>
  <si>
    <r>
      <t xml:space="preserve">Количество проданных </t>
    </r>
    <r>
      <rPr>
        <b/>
        <sz val="11"/>
        <color theme="1"/>
        <rFont val="Calibri"/>
        <family val="2"/>
        <charset val="204"/>
        <scheme val="minor"/>
      </rPr>
      <t>Смартфонов</t>
    </r>
  </si>
  <si>
    <r>
      <t xml:space="preserve">Сумма продаж </t>
    </r>
    <r>
      <rPr>
        <b/>
        <sz val="11"/>
        <color theme="1"/>
        <rFont val="Calibri"/>
        <family val="2"/>
        <charset val="204"/>
        <scheme val="minor"/>
      </rPr>
      <t>Ноутбуков</t>
    </r>
    <r>
      <rPr>
        <sz val="11"/>
        <color theme="1"/>
        <rFont val="Calibri"/>
        <family val="2"/>
        <scheme val="minor"/>
      </rPr>
      <t xml:space="preserve"> в регионе </t>
    </r>
    <r>
      <rPr>
        <b/>
        <sz val="11"/>
        <color theme="1"/>
        <rFont val="Calibri"/>
        <family val="2"/>
        <charset val="204"/>
        <scheme val="minor"/>
      </rPr>
      <t>Северо-Запад</t>
    </r>
  </si>
  <si>
    <r>
      <t xml:space="preserve">Количество сделок </t>
    </r>
    <r>
      <rPr>
        <b/>
        <sz val="11"/>
        <color theme="1"/>
        <rFont val="Calibri"/>
        <family val="2"/>
        <charset val="204"/>
        <scheme val="minor"/>
      </rPr>
      <t>Волкова</t>
    </r>
    <r>
      <rPr>
        <sz val="11"/>
        <color theme="1"/>
        <rFont val="Calibri"/>
        <family val="2"/>
        <scheme val="minor"/>
      </rPr>
      <t>, где объём продаж был</t>
    </r>
    <r>
      <rPr>
        <b/>
        <sz val="11"/>
        <color theme="1"/>
        <rFont val="Calibri"/>
        <family val="2"/>
        <charset val="204"/>
        <scheme val="minor"/>
      </rPr>
      <t xml:space="preserve"> &gt; 5 шт.</t>
    </r>
  </si>
  <si>
    <t>№ студента</t>
  </si>
  <si>
    <t>Студент</t>
  </si>
  <si>
    <t>Витушенков</t>
  </si>
  <si>
    <t>Калмыкова</t>
  </si>
  <si>
    <t>Степуров</t>
  </si>
  <si>
    <t>Кисточкин</t>
  </si>
  <si>
    <t>Шитов</t>
  </si>
  <si>
    <t>Калинин</t>
  </si>
  <si>
    <t>Новикова</t>
  </si>
  <si>
    <t>Павленко</t>
  </si>
  <si>
    <t>Наместников</t>
  </si>
  <si>
    <t>Мартьянов</t>
  </si>
  <si>
    <t>Занятие 1</t>
  </si>
  <si>
    <t>Занятие 2</t>
  </si>
  <si>
    <t>Занятие 3</t>
  </si>
  <si>
    <t>Занятие 4</t>
  </si>
  <si>
    <t>Итого баллов</t>
  </si>
  <si>
    <t>Оценка</t>
  </si>
  <si>
    <t>Всего:</t>
  </si>
  <si>
    <t>&gt;90%</t>
  </si>
  <si>
    <t>&gt;80%</t>
  </si>
  <si>
    <t>&gt;65%</t>
  </si>
  <si>
    <t>&lt;50%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</si>
</sst>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</cellXfs>
  <cellStyles count="1">
    <cellStyle name="Обычный" xfId="0" builtinId="0"/>
  </cellStyles>
  <dxfs count="30">
    <dxf>
      <fill>
        <patternFill>
          <bgColor rgb="FF92D050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Layout" zoomScaleNormal="100" workbookViewId="0">
      <selection activeCell="F29" sqref="F29"/>
    </sheetView>
  </sheetViews>
  <sheetFormatPr defaultRowHeight="15" x14ac:dyDescent="0.25"/>
  <cols>
    <col min="1" max="1" width="9.140625" style="1"/>
    <col min="2" max="2" width="10.140625" style="1" bestFit="1" customWidth="1"/>
    <col min="3" max="3" width="11" style="1" customWidth="1"/>
    <col min="4" max="4" width="11.7109375" style="1" customWidth="1"/>
    <col min="5" max="5" width="10.5703125" style="1" customWidth="1"/>
    <col min="6" max="6" width="13" style="1" customWidth="1"/>
    <col min="7" max="9" width="9.140625" style="1"/>
  </cols>
  <sheetData>
    <row r="1" spans="1:8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3">
        <v>7</v>
      </c>
      <c r="B2" s="4">
        <v>46300</v>
      </c>
      <c r="C2" s="3" t="s">
        <v>10</v>
      </c>
      <c r="D2" s="3" t="s">
        <v>14</v>
      </c>
      <c r="E2" s="3" t="s">
        <v>16</v>
      </c>
      <c r="F2" s="3">
        <v>4</v>
      </c>
      <c r="G2" s="3">
        <v>46000</v>
      </c>
      <c r="H2" s="3">
        <f>F2*G2</f>
        <v>184000</v>
      </c>
    </row>
    <row r="3" spans="1:8" x14ac:dyDescent="0.25">
      <c r="A3" s="3">
        <v>10</v>
      </c>
      <c r="B3" s="4">
        <v>46304</v>
      </c>
      <c r="C3" s="3" t="s">
        <v>10</v>
      </c>
      <c r="D3" s="3" t="s">
        <v>14</v>
      </c>
      <c r="E3" s="3" t="s">
        <v>18</v>
      </c>
      <c r="F3" s="3">
        <v>7</v>
      </c>
      <c r="G3" s="3">
        <v>25000</v>
      </c>
      <c r="H3" s="3">
        <f>F3*G3</f>
        <v>175000</v>
      </c>
    </row>
    <row r="4" spans="1:8" x14ac:dyDescent="0.25">
      <c r="A4" s="3">
        <v>3</v>
      </c>
      <c r="B4" s="4">
        <v>46297</v>
      </c>
      <c r="C4" s="3" t="s">
        <v>10</v>
      </c>
      <c r="D4" s="3" t="s">
        <v>14</v>
      </c>
      <c r="E4" s="3" t="s">
        <v>18</v>
      </c>
      <c r="F4" s="3">
        <v>3</v>
      </c>
      <c r="G4" s="3">
        <v>15000</v>
      </c>
      <c r="H4" s="3">
        <f>F4*G4</f>
        <v>45000</v>
      </c>
    </row>
    <row r="5" spans="1:8" ht="30" x14ac:dyDescent="0.25">
      <c r="A5" s="3">
        <v>1</v>
      </c>
      <c r="B5" s="4">
        <v>46296</v>
      </c>
      <c r="C5" s="3" t="s">
        <v>8</v>
      </c>
      <c r="D5" s="3" t="s">
        <v>12</v>
      </c>
      <c r="E5" s="3" t="s">
        <v>16</v>
      </c>
      <c r="F5" s="3">
        <v>5</v>
      </c>
      <c r="G5" s="3">
        <v>45000</v>
      </c>
      <c r="H5" s="3">
        <f>F5*G5</f>
        <v>225000</v>
      </c>
    </row>
    <row r="6" spans="1:8" ht="30" x14ac:dyDescent="0.25">
      <c r="A6" s="3">
        <v>4</v>
      </c>
      <c r="B6" s="4">
        <v>46298</v>
      </c>
      <c r="C6" s="3" t="s">
        <v>8</v>
      </c>
      <c r="D6" s="3" t="s">
        <v>12</v>
      </c>
      <c r="E6" s="3" t="s">
        <v>17</v>
      </c>
      <c r="F6" s="3">
        <v>8</v>
      </c>
      <c r="G6" s="3">
        <v>23000</v>
      </c>
      <c r="H6" s="3">
        <f>F6*G6</f>
        <v>184000</v>
      </c>
    </row>
    <row r="7" spans="1:8" ht="30" x14ac:dyDescent="0.25">
      <c r="A7" s="3">
        <v>8</v>
      </c>
      <c r="B7" s="4">
        <v>46301</v>
      </c>
      <c r="C7" s="3" t="s">
        <v>8</v>
      </c>
      <c r="D7" s="3" t="s">
        <v>12</v>
      </c>
      <c r="E7" s="3" t="s">
        <v>18</v>
      </c>
      <c r="F7" s="3">
        <v>1</v>
      </c>
      <c r="G7" s="3">
        <v>14500</v>
      </c>
      <c r="H7" s="3">
        <f>F7*G7</f>
        <v>14500</v>
      </c>
    </row>
    <row r="8" spans="1:8" x14ac:dyDescent="0.25">
      <c r="A8" s="3">
        <v>2</v>
      </c>
      <c r="B8" s="4">
        <v>46297</v>
      </c>
      <c r="C8" s="3" t="s">
        <v>9</v>
      </c>
      <c r="D8" s="3" t="s">
        <v>13</v>
      </c>
      <c r="E8" s="3" t="s">
        <v>17</v>
      </c>
      <c r="F8" s="3">
        <v>12</v>
      </c>
      <c r="G8" s="3">
        <v>25000</v>
      </c>
      <c r="H8" s="3">
        <f>F8*G8</f>
        <v>300000</v>
      </c>
    </row>
    <row r="9" spans="1:8" x14ac:dyDescent="0.25">
      <c r="A9" s="3">
        <v>9</v>
      </c>
      <c r="B9" s="4">
        <v>46302</v>
      </c>
      <c r="C9" s="3" t="s">
        <v>9</v>
      </c>
      <c r="D9" s="3" t="s">
        <v>13</v>
      </c>
      <c r="E9" s="3" t="s">
        <v>19</v>
      </c>
      <c r="F9" s="3">
        <v>6</v>
      </c>
      <c r="G9" s="3">
        <v>19000</v>
      </c>
      <c r="H9" s="3">
        <f>F9*G9</f>
        <v>114000</v>
      </c>
    </row>
    <row r="10" spans="1:8" x14ac:dyDescent="0.25">
      <c r="A10" s="3">
        <v>5</v>
      </c>
      <c r="B10" s="4">
        <v>46299</v>
      </c>
      <c r="C10" s="3" t="s">
        <v>9</v>
      </c>
      <c r="D10" s="3" t="s">
        <v>13</v>
      </c>
      <c r="E10" s="3" t="s">
        <v>16</v>
      </c>
      <c r="F10" s="3">
        <v>2</v>
      </c>
      <c r="G10" s="3">
        <v>50000</v>
      </c>
      <c r="H10" s="3">
        <f>F10*G10</f>
        <v>100000</v>
      </c>
    </row>
    <row r="11" spans="1:8" x14ac:dyDescent="0.25">
      <c r="A11" s="3">
        <v>6</v>
      </c>
      <c r="B11" s="4">
        <v>46300</v>
      </c>
      <c r="C11" s="3" t="s">
        <v>11</v>
      </c>
      <c r="D11" s="3" t="s">
        <v>15</v>
      </c>
      <c r="E11" s="3" t="s">
        <v>19</v>
      </c>
      <c r="F11" s="3">
        <v>10</v>
      </c>
      <c r="G11" s="3">
        <v>18000</v>
      </c>
      <c r="H11" s="3">
        <f>F11*G11</f>
        <v>180000</v>
      </c>
    </row>
    <row r="13" spans="1:8" ht="30" x14ac:dyDescent="0.25">
      <c r="B13" s="3" t="s">
        <v>21</v>
      </c>
      <c r="C13" s="3" t="s">
        <v>22</v>
      </c>
      <c r="G13" s="3" t="s">
        <v>20</v>
      </c>
      <c r="H13" s="3">
        <f>SUM(H2:H11)</f>
        <v>1521500</v>
      </c>
    </row>
  </sheetData>
  <autoFilter ref="A1:H1" xr:uid="{00000000-0001-0000-0000-000000000000}"/>
  <sortState xmlns:xlrd2="http://schemas.microsoft.com/office/spreadsheetml/2017/richdata2" ref="A2:H11">
    <sortCondition ref="C2:C11"/>
    <sortCondition descending="1" ref="H2:H11"/>
  </sortState>
  <conditionalFormatting sqref="H2:H11">
    <cfRule type="cellIs" dxfId="29" priority="2" operator="greaterThan">
      <formula>200000</formula>
    </cfRule>
  </conditionalFormatting>
  <conditionalFormatting sqref="F2:F1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{027A33A3-2C99-4309-AABA-8C44E248050C}</x14:id>
        </ext>
      </extLst>
    </cfRule>
  </conditionalFormatting>
  <pageMargins left="0.7" right="0.7" top="0.75" bottom="0.75" header="0.3" footer="0.3"/>
  <pageSetup paperSize="9" orientation="portrait" r:id="rId1"/>
  <headerFooter>
    <oddHeader>&amp;C11ОП, Мартьянов</oddHeader>
    <oddFooter>&amp;CПрактическая №7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A33A3-2C99-4309-AABA-8C44E24805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F2:F11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390F-138E-4FCD-B1FA-A80C0B0E0F23}">
  <dimension ref="A1:C5"/>
  <sheetViews>
    <sheetView workbookViewId="0">
      <selection activeCell="C4" sqref="C4"/>
    </sheetView>
  </sheetViews>
  <sheetFormatPr defaultRowHeight="15" x14ac:dyDescent="0.25"/>
  <cols>
    <col min="1" max="1" width="3.5703125" style="1" customWidth="1"/>
    <col min="2" max="2" width="17.42578125" style="1" customWidth="1"/>
    <col min="3" max="3" width="15.140625" style="1" customWidth="1"/>
  </cols>
  <sheetData>
    <row r="1" spans="1:3" ht="30" x14ac:dyDescent="0.25">
      <c r="A1" s="3" t="s">
        <v>23</v>
      </c>
      <c r="B1" s="3" t="s">
        <v>24</v>
      </c>
      <c r="C1" s="3" t="s">
        <v>25</v>
      </c>
    </row>
    <row r="2" spans="1:3" ht="45" x14ac:dyDescent="0.25">
      <c r="A2" s="3">
        <v>1</v>
      </c>
      <c r="B2" s="5" t="s">
        <v>26</v>
      </c>
      <c r="C2" s="3">
        <f>SUMIF('Реестр оптовых отгрузок электр.'!D2:D11, "Иванов", 'Реестр оптовых отгрузок электр.'!H2:H11)</f>
        <v>423500</v>
      </c>
    </row>
    <row r="3" spans="1:3" ht="45" x14ac:dyDescent="0.25">
      <c r="A3" s="3">
        <v>2</v>
      </c>
      <c r="B3" s="5" t="s">
        <v>27</v>
      </c>
      <c r="C3" s="3">
        <f>COUNTIF('Реестр оптовых отгрузок электр.'!E2:E11, "Смартфон")</f>
        <v>2</v>
      </c>
    </row>
    <row r="4" spans="1:3" ht="60" x14ac:dyDescent="0.25">
      <c r="A4" s="3">
        <v>3</v>
      </c>
      <c r="B4" s="5" t="s">
        <v>28</v>
      </c>
      <c r="C4" s="3">
        <f>SUMIFS('Реестр оптовых отгрузок электр.'!H2:H11, 'Реестр оптовых отгрузок электр.'!E2:E11, "Ноутбук", 'Реестр оптовых отгрузок электр.'!C2:C11, "Северо-Запад")</f>
        <v>225000</v>
      </c>
    </row>
    <row r="5" spans="1:3" ht="75" x14ac:dyDescent="0.25">
      <c r="A5" s="3">
        <v>4</v>
      </c>
      <c r="B5" s="5" t="s">
        <v>29</v>
      </c>
      <c r="C5" s="3">
        <f>COUNTIFS('Реестр оптовых отгрузок электр.'!D2:D11, "Волков", 'Реестр оптовых отгрузок электр.'!F2:F11, "&gt;5")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ED97-F7F5-4DC6-BCE2-11399DFA4296}">
  <dimension ref="A1:H17"/>
  <sheetViews>
    <sheetView workbookViewId="0">
      <selection activeCell="K8" sqref="K8"/>
    </sheetView>
  </sheetViews>
  <sheetFormatPr defaultRowHeight="15" x14ac:dyDescent="0.25"/>
  <cols>
    <col min="1" max="1" width="9.140625" style="2"/>
    <col min="2" max="2" width="13.140625" style="2" customWidth="1"/>
    <col min="3" max="6" width="9.140625" style="2"/>
  </cols>
  <sheetData>
    <row r="1" spans="1:8" ht="30" x14ac:dyDescent="0.25">
      <c r="A1" s="3" t="s">
        <v>30</v>
      </c>
      <c r="B1" s="3" t="s">
        <v>31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6" t="s">
        <v>47</v>
      </c>
    </row>
    <row r="2" spans="1:8" x14ac:dyDescent="0.25">
      <c r="A2" s="3">
        <v>5</v>
      </c>
      <c r="B2" s="3" t="s">
        <v>36</v>
      </c>
      <c r="C2" s="3">
        <v>5</v>
      </c>
      <c r="D2" s="3">
        <v>5</v>
      </c>
      <c r="E2" s="3">
        <v>3</v>
      </c>
      <c r="F2" s="3">
        <v>5</v>
      </c>
      <c r="G2" s="3">
        <f>SUM(C2:F2)</f>
        <v>18</v>
      </c>
      <c r="H2" s="9" cm="1">
        <f t="array" ref="H2">_xlfn.IFS($B$14 &lt;= G2, 5, AND(G2&lt;$B$14, G2&gt;=$B$15), 4, AND(G2 &lt; $B$15, G2 &gt;= $B$16), 3, $B$17 &gt; G2, 2)</f>
        <v>5</v>
      </c>
    </row>
    <row r="3" spans="1:8" x14ac:dyDescent="0.25">
      <c r="A3" s="3">
        <v>1</v>
      </c>
      <c r="B3" s="3" t="s">
        <v>32</v>
      </c>
      <c r="C3" s="3">
        <v>4</v>
      </c>
      <c r="D3" s="3">
        <v>4</v>
      </c>
      <c r="E3" s="3">
        <v>3</v>
      </c>
      <c r="F3" s="3">
        <v>5</v>
      </c>
      <c r="G3" s="3">
        <f>SUM(C3:F3)</f>
        <v>16</v>
      </c>
      <c r="H3" s="9" cm="1">
        <f t="array" ref="H3">_xlfn.IFS($B$14 &lt;= G3, 5, AND(G3&lt;$B$14, G3&gt;=$B$15), 4, AND(G3 &lt; $B$15, G3 &gt;= $B$16), 3, $B$17 &gt; G3, 2)</f>
        <v>4</v>
      </c>
    </row>
    <row r="4" spans="1:8" x14ac:dyDescent="0.25">
      <c r="A4" s="3">
        <v>8</v>
      </c>
      <c r="B4" s="3" t="s">
        <v>39</v>
      </c>
      <c r="C4" s="3">
        <v>5</v>
      </c>
      <c r="D4" s="3">
        <v>5</v>
      </c>
      <c r="E4" s="3">
        <v>3</v>
      </c>
      <c r="F4" s="3">
        <v>3</v>
      </c>
      <c r="G4" s="3">
        <f>SUM(C4:F4)</f>
        <v>16</v>
      </c>
      <c r="H4" s="9" cm="1">
        <f t="array" ref="H4">_xlfn.IFS($B$14 &lt;= G4, 5, AND(G4&lt;$B$14, G4&gt;=$B$15), 4, AND(G4 &lt; $B$15, G4 &gt;= $B$16), 3, $B$17 &gt; G4, 2)</f>
        <v>4</v>
      </c>
    </row>
    <row r="5" spans="1:8" x14ac:dyDescent="0.25">
      <c r="A5" s="3">
        <v>10</v>
      </c>
      <c r="B5" s="3" t="s">
        <v>41</v>
      </c>
      <c r="C5" s="3">
        <v>5</v>
      </c>
      <c r="D5" s="3">
        <v>4</v>
      </c>
      <c r="E5" s="3">
        <v>5</v>
      </c>
      <c r="F5" s="3">
        <v>3</v>
      </c>
      <c r="G5" s="3">
        <f>SUM(C5:F5)</f>
        <v>17</v>
      </c>
      <c r="H5" s="9" cm="1">
        <f t="array" ref="H5">_xlfn.IFS($B$14 &lt;= G5, 5, AND(G5&lt;$B$14, G5&gt;=$B$15), 4, AND(G5 &lt; $B$15, G5 &gt;= $B$16), 3, $B$17 &gt; G5, 2)</f>
        <v>4</v>
      </c>
    </row>
    <row r="6" spans="1:8" x14ac:dyDescent="0.25">
      <c r="A6" s="3">
        <v>2</v>
      </c>
      <c r="B6" s="3" t="s">
        <v>33</v>
      </c>
      <c r="C6" s="3">
        <v>2</v>
      </c>
      <c r="D6" s="3">
        <v>5</v>
      </c>
      <c r="E6" s="3">
        <v>4</v>
      </c>
      <c r="F6" s="3">
        <v>4</v>
      </c>
      <c r="G6" s="3">
        <f>SUM(C6:F6)</f>
        <v>15</v>
      </c>
      <c r="H6" s="9" cm="1">
        <f t="array" ref="H6">_xlfn.IFS($B$14 &lt;= G6, 5, AND(G6&lt;$B$14, G6&gt;=$B$15), 4, AND(G6 &lt; $B$15, G6 &gt;= $B$16), 3, $B$17 &gt; G6, 2)</f>
        <v>3</v>
      </c>
    </row>
    <row r="7" spans="1:8" x14ac:dyDescent="0.25">
      <c r="A7" s="3">
        <v>3</v>
      </c>
      <c r="B7" s="3" t="s">
        <v>34</v>
      </c>
      <c r="C7" s="3">
        <v>5</v>
      </c>
      <c r="D7" s="3">
        <v>3</v>
      </c>
      <c r="E7" s="3">
        <v>4</v>
      </c>
      <c r="F7" s="3">
        <v>3</v>
      </c>
      <c r="G7" s="3">
        <f>SUM(C7:F7)</f>
        <v>15</v>
      </c>
      <c r="H7" s="9" cm="1">
        <f t="array" ref="H7">_xlfn.IFS($B$14 &lt;= G7, 5, AND(G7&lt;$B$14, G7&gt;=$B$15), 4, AND(G7 &lt; $B$15, G7 &gt;= $B$16), 3, $B$17 &gt; G7, 2)</f>
        <v>3</v>
      </c>
    </row>
    <row r="8" spans="1:8" x14ac:dyDescent="0.25">
      <c r="A8" s="3">
        <v>4</v>
      </c>
      <c r="B8" s="3" t="s">
        <v>35</v>
      </c>
      <c r="C8" s="3">
        <v>3</v>
      </c>
      <c r="D8" s="3">
        <v>3</v>
      </c>
      <c r="E8" s="3">
        <v>4</v>
      </c>
      <c r="F8" s="3">
        <v>4</v>
      </c>
      <c r="G8" s="3">
        <f>SUM(C8:F8)</f>
        <v>14</v>
      </c>
      <c r="H8" s="9" cm="1">
        <f t="array" ref="H8">_xlfn.IFS($B$14 &lt;= G8, 5, AND(G8&lt;$B$14, G8&gt;=$B$15), 4, AND(G8 &lt; $B$15, G8 &gt;= $B$16), 3, $B$17 &gt; G8, 2)</f>
        <v>3</v>
      </c>
    </row>
    <row r="9" spans="1:8" x14ac:dyDescent="0.25">
      <c r="A9" s="3">
        <v>6</v>
      </c>
      <c r="B9" s="3" t="s">
        <v>37</v>
      </c>
      <c r="C9" s="3">
        <v>4</v>
      </c>
      <c r="D9" s="3">
        <v>3</v>
      </c>
      <c r="E9" s="3">
        <v>3</v>
      </c>
      <c r="F9" s="3">
        <v>5</v>
      </c>
      <c r="G9" s="3">
        <f>SUM(C9:F9)</f>
        <v>15</v>
      </c>
      <c r="H9" s="9" cm="1">
        <f t="array" ref="H9">_xlfn.IFS($B$14 &lt;= G9, 5, AND(G9&lt;$B$14, G9&gt;=$B$15), 4, AND(G9 &lt; $B$15, G9 &gt;= $B$16), 3, $B$17 &gt; G9, 2)</f>
        <v>3</v>
      </c>
    </row>
    <row r="10" spans="1:8" x14ac:dyDescent="0.25">
      <c r="A10" s="3">
        <v>7</v>
      </c>
      <c r="B10" s="3" t="s">
        <v>38</v>
      </c>
      <c r="C10" s="3">
        <v>4</v>
      </c>
      <c r="D10" s="3">
        <v>2</v>
      </c>
      <c r="E10" s="3">
        <v>5</v>
      </c>
      <c r="F10" s="3">
        <v>4</v>
      </c>
      <c r="G10" s="3">
        <f>SUM(C10:F10)</f>
        <v>15</v>
      </c>
      <c r="H10" s="9" cm="1">
        <f t="array" ref="H10">_xlfn.IFS($B$14 &lt;= G10, 5, AND(G10&lt;$B$14, G10&gt;=$B$15), 4, AND(G10 &lt; $B$15, G10 &gt;= $B$16), 3, $B$17 &gt; G10, 2)</f>
        <v>3</v>
      </c>
    </row>
    <row r="11" spans="1:8" x14ac:dyDescent="0.25">
      <c r="A11" s="3">
        <v>9</v>
      </c>
      <c r="B11" s="3" t="s">
        <v>40</v>
      </c>
      <c r="C11" s="3">
        <v>3</v>
      </c>
      <c r="D11" s="3">
        <v>4</v>
      </c>
      <c r="E11" s="3">
        <v>2</v>
      </c>
      <c r="F11" s="3">
        <v>5</v>
      </c>
      <c r="G11" s="3">
        <f>SUM(C11:F11)</f>
        <v>14</v>
      </c>
      <c r="H11" s="9" cm="1">
        <f t="array" ref="H11">_xlfn.IFS($B$14 &lt;= G11, 5, AND(G11&lt;$B$14, G11&gt;=$B$15), 4, AND(G11 &lt; $B$15, G11 &gt;= $B$16), 3, $B$17 &gt; G11, 2)</f>
        <v>3</v>
      </c>
    </row>
    <row r="13" spans="1:8" x14ac:dyDescent="0.25">
      <c r="A13" s="7" t="s">
        <v>48</v>
      </c>
      <c r="B13" s="8">
        <v>20</v>
      </c>
    </row>
    <row r="14" spans="1:8" x14ac:dyDescent="0.25">
      <c r="A14" s="3" t="s">
        <v>49</v>
      </c>
      <c r="B14" s="3">
        <f>B13 * 0.9</f>
        <v>18</v>
      </c>
    </row>
    <row r="15" spans="1:8" x14ac:dyDescent="0.25">
      <c r="A15" s="3" t="s">
        <v>50</v>
      </c>
      <c r="B15" s="3">
        <f>B13 * 0.8</f>
        <v>16</v>
      </c>
    </row>
    <row r="16" spans="1:8" x14ac:dyDescent="0.25">
      <c r="A16" s="3" t="s">
        <v>51</v>
      </c>
      <c r="B16" s="3">
        <f>B13 * 0.65</f>
        <v>13</v>
      </c>
    </row>
    <row r="17" spans="1:2" x14ac:dyDescent="0.25">
      <c r="A17" s="3" t="s">
        <v>52</v>
      </c>
      <c r="B17" s="3">
        <f>B13 * 0.5</f>
        <v>10</v>
      </c>
    </row>
  </sheetData>
  <sortState xmlns:xlrd2="http://schemas.microsoft.com/office/spreadsheetml/2017/richdata2" ref="A2:H11">
    <sortCondition descending="1" ref="H2:H11"/>
  </sortState>
  <conditionalFormatting sqref="H2:H11">
    <cfRule type="containsText" dxfId="8" priority="6" operator="containsText" text="&quot;5&quot;">
      <formula>NOT(ISERROR(SEARCH("""5""",H2)))</formula>
    </cfRule>
    <cfRule type="cellIs" dxfId="9" priority="5" operator="equal">
      <formula>"""5"""</formula>
    </cfRule>
    <cfRule type="cellIs" dxfId="10" priority="4" operator="equal">
      <formula>5</formula>
    </cfRule>
    <cfRule type="cellIs" dxfId="11" priority="3" operator="equal">
      <formula>4</formula>
    </cfRule>
    <cfRule type="cellIs" dxfId="12" priority="2" operator="equal">
      <formula>3</formula>
    </cfRule>
    <cfRule type="cellIs" dxfId="13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Реестр оптовых отгрузок электр.</vt:lpstr>
      <vt:lpstr>Отчётная таблица</vt:lpstr>
      <vt:lpstr>Зачётное 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Майк Грей</dc:creator>
  <cp:lastModifiedBy>Майк Грей</cp:lastModifiedBy>
  <dcterms:created xsi:type="dcterms:W3CDTF">2015-06-05T18:19:34Z</dcterms:created>
  <dcterms:modified xsi:type="dcterms:W3CDTF">2026-10-12T07:31:32Z</dcterms:modified>
</cp:coreProperties>
</file>