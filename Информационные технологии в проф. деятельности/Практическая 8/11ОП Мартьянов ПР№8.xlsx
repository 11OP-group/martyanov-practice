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4fb4a514811215b/Рабочий стол/Projects/Информационные технологии в проф. деятельности/Практическая 8/"/>
    </mc:Choice>
  </mc:AlternateContent>
  <xr:revisionPtr revIDLastSave="1" documentId="11_AD4DF75460589B3ACB728462AFDF77D25ADEDD93" xr6:coauthVersionLast="47" xr6:coauthVersionMax="47" xr10:uidLastSave="{21218A6A-EB5A-4CA5-B89F-F82ACC83F223}"/>
  <bookViews>
    <workbookView xWindow="-120" yWindow="-120" windowWidth="29040" windowHeight="15720" activeTab="1" xr2:uid="{00000000-000D-0000-FFFF-FFFF00000000}"/>
  </bookViews>
  <sheets>
    <sheet name="Новые машины фирмы Эллада" sheetId="1" r:id="rId1"/>
    <sheet name="Зачётное задани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2" l="1"/>
  <c r="J6" i="2"/>
  <c r="H6" i="2"/>
  <c r="I5" i="2"/>
  <c r="J5" i="2"/>
  <c r="H5" i="2"/>
  <c r="G3" i="2"/>
  <c r="G4" i="2"/>
  <c r="G2" i="2"/>
  <c r="F3" i="2"/>
  <c r="F4" i="2"/>
  <c r="F2" i="2"/>
  <c r="J2" i="2"/>
  <c r="I4" i="2"/>
  <c r="J4" i="2" s="1"/>
  <c r="I3" i="2"/>
  <c r="J3" i="2" s="1"/>
  <c r="I2" i="2"/>
  <c r="D3" i="2"/>
  <c r="D4" i="2"/>
  <c r="D2" i="2"/>
  <c r="B3" i="2"/>
  <c r="B4" i="2"/>
  <c r="B2" i="2"/>
  <c r="J6" i="1"/>
  <c r="I6" i="1"/>
  <c r="J3" i="1"/>
  <c r="J4" i="1"/>
  <c r="J5" i="1"/>
  <c r="J2" i="1"/>
  <c r="I3" i="1"/>
  <c r="I4" i="1"/>
  <c r="I5" i="1"/>
  <c r="I2" i="1"/>
  <c r="F6" i="1"/>
  <c r="E6" i="1"/>
  <c r="F3" i="1"/>
  <c r="F4" i="1"/>
  <c r="F5" i="1"/>
  <c r="F2" i="1"/>
  <c r="E3" i="1"/>
  <c r="E4" i="1"/>
  <c r="E5" i="1"/>
  <c r="E2" i="1"/>
  <c r="G3" i="1"/>
  <c r="G4" i="1"/>
  <c r="G5" i="1"/>
  <c r="G2" i="1"/>
  <c r="C3" i="1"/>
  <c r="C4" i="1"/>
  <c r="C5" i="1"/>
  <c r="C2" i="1"/>
</calcChain>
</file>

<file path=xl/sharedStrings.xml><?xml version="1.0" encoding="utf-8"?>
<sst xmlns="http://schemas.openxmlformats.org/spreadsheetml/2006/main" count="33" uniqueCount="32">
  <si>
    <t>Марка</t>
  </si>
  <si>
    <t>Цена закупки ($)</t>
  </si>
  <si>
    <t>Цена закупки (руб.)</t>
  </si>
  <si>
    <t>Количество (шт.)</t>
  </si>
  <si>
    <t>Сумма затрат на покупку каждой марки авто ($)</t>
  </si>
  <si>
    <t>Сумма затрат на покупку каждой марки авто (руб.)</t>
  </si>
  <si>
    <t>Цена продажи одной шт. ($)</t>
  </si>
  <si>
    <t>Цена продажи одной шт. (руб.)</t>
  </si>
  <si>
    <t>Прибыль ($)</t>
  </si>
  <si>
    <t>Прибыль (руб.)</t>
  </si>
  <si>
    <t>LADA Priora</t>
  </si>
  <si>
    <t>LADA Kalina</t>
  </si>
  <si>
    <t>ВАЗ 2114</t>
  </si>
  <si>
    <t>ВАЗ 2115</t>
  </si>
  <si>
    <t>Общая сумма затрат:</t>
  </si>
  <si>
    <t>Общая прибыль:</t>
  </si>
  <si>
    <t>Курс доллара:</t>
  </si>
  <si>
    <t>Марка часов</t>
  </si>
  <si>
    <t>Цена продажи шт. ($)</t>
  </si>
  <si>
    <t>Цена продажи шт. (руб.)</t>
  </si>
  <si>
    <t>Затраты на изготовление ($)</t>
  </si>
  <si>
    <t>Затраты на изготовление (руб.)</t>
  </si>
  <si>
    <t>Производство за январь (шт.)</t>
  </si>
  <si>
    <t>Производство за февраль (шт.)</t>
  </si>
  <si>
    <t>Производство за март (шт.)</t>
  </si>
  <si>
    <t>I</t>
  </si>
  <si>
    <t>II</t>
  </si>
  <si>
    <t>III</t>
  </si>
  <si>
    <t>Прибыль от реализации ($)</t>
  </si>
  <si>
    <t>Прибыль от реализации (руб.)</t>
  </si>
  <si>
    <t>Затраты на производство в мес. ($)</t>
  </si>
  <si>
    <t>Затраты на производство в мес. 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</si>
</sst>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\ &quot;₽&quot;"/>
    <numFmt numFmtId="166" formatCode="_-[$$-409]* #,##0.00_ ;_-[$$-409]* \-#,##0.00\ ;_-[$$-409]* &quot;-&quot;??_ ;_-@_ "/>
    <numFmt numFmtId="167" formatCode="_-* #,##0.00\ [$₽-419]_-;\-* #,##0.00\ [$₽-419]_-;_-* &quot;-&quot;??\ [$₽-419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167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left" vertical="center" wrapText="1"/>
    </xf>
    <xf numFmtId="167" fontId="1" fillId="0" borderId="3" xfId="0" applyNumberFormat="1" applyFont="1" applyBorder="1" applyAlignment="1">
      <alignment horizontal="right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wrapText="1"/>
    </xf>
    <xf numFmtId="166" fontId="0" fillId="0" borderId="1" xfId="0" applyNumberFormat="1" applyBorder="1" applyAlignment="1">
      <alignment wrapText="1"/>
    </xf>
    <xf numFmtId="167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167" fontId="1" fillId="0" borderId="1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wrapText="1"/>
    </xf>
    <xf numFmtId="166" fontId="1" fillId="0" borderId="3" xfId="0" applyNumberFormat="1" applyFont="1" applyBorder="1" applyAlignment="1">
      <alignment horizontal="right" vertical="center" wrapText="1"/>
    </xf>
    <xf numFmtId="166" fontId="0" fillId="0" borderId="2" xfId="0" applyNumberFormat="1" applyBorder="1" applyAlignment="1">
      <alignment wrapText="1"/>
    </xf>
    <xf numFmtId="167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1" fontId="0" fillId="0" borderId="2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Объёмы продаж всех марок автомобилей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'Новые машины фирмы Эллада'!$D$1</c:f>
              <c:strCache>
                <c:ptCount val="1"/>
                <c:pt idx="0">
                  <c:v>Количество (шт.)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'Новые машины фирмы Эллада'!$A$2:$A$5</c:f>
              <c:strCache>
                <c:ptCount val="4"/>
                <c:pt idx="0">
                  <c:v>LADA Priora</c:v>
                </c:pt>
                <c:pt idx="1">
                  <c:v>LADA Kalina</c:v>
                </c:pt>
                <c:pt idx="2">
                  <c:v>ВАЗ 2114</c:v>
                </c:pt>
                <c:pt idx="3">
                  <c:v>ВАЗ 2115</c:v>
                </c:pt>
              </c:strCache>
            </c:strRef>
          </c:cat>
          <c:val>
            <c:numRef>
              <c:f>'Новые машины фирмы Эллада'!$D$2:$D$5</c:f>
              <c:numCache>
                <c:formatCode>General</c:formatCode>
                <c:ptCount val="4"/>
                <c:pt idx="0">
                  <c:v>45</c:v>
                </c:pt>
                <c:pt idx="1">
                  <c:v>35</c:v>
                </c:pt>
                <c:pt idx="2">
                  <c:v>30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C-4A66-90EA-318BAC150CA0}"/>
            </c:ext>
          </c:extLst>
        </c:ser>
        <c:ser>
          <c:idx val="1"/>
          <c:order val="1"/>
          <c:tx>
            <c:strRef>
              <c:f>'Новые машины фирмы Эллада'!$I$1</c:f>
              <c:strCache>
                <c:ptCount val="1"/>
                <c:pt idx="0">
                  <c:v>Прибыль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'Новые машины фирмы Эллада'!$A$2:$A$5</c:f>
              <c:strCache>
                <c:ptCount val="4"/>
                <c:pt idx="0">
                  <c:v>LADA Priora</c:v>
                </c:pt>
                <c:pt idx="1">
                  <c:v>LADA Kalina</c:v>
                </c:pt>
                <c:pt idx="2">
                  <c:v>ВАЗ 2114</c:v>
                </c:pt>
                <c:pt idx="3">
                  <c:v>ВАЗ 2115</c:v>
                </c:pt>
              </c:strCache>
            </c:strRef>
          </c:cat>
          <c:val>
            <c:numRef>
              <c:f>'Новые машины фирмы Эллада'!$I$2:$I$5</c:f>
              <c:numCache>
                <c:formatCode>_-[$$-409]* #\ ##0.00_ ;_-[$$-409]* \-#\ ##0.00\ ;_-[$$-409]* "-"??_ ;_-@_ </c:formatCode>
                <c:ptCount val="4"/>
                <c:pt idx="0">
                  <c:v>16410.501193317468</c:v>
                </c:pt>
                <c:pt idx="1">
                  <c:v>16544.391408114578</c:v>
                </c:pt>
                <c:pt idx="2">
                  <c:v>13293.07875894988</c:v>
                </c:pt>
                <c:pt idx="3">
                  <c:v>11240.119331742259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C-4A66-90EA-318BAC150C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36236607"/>
        <c:axId val="1936237087"/>
        <c:axId val="0"/>
      </c:bar3DChart>
      <c:catAx>
        <c:axId val="19362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237087"/>
        <c:crosses val="autoZero"/>
        <c:auto val="1"/>
        <c:lblAlgn val="ctr"/>
        <c:lblOffset val="100"/>
        <c:noMultiLvlLbl val="0"/>
      </c:catAx>
      <c:valAx>
        <c:axId val="19362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Прибыль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23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роста производства часов марок</a:t>
            </a:r>
          </a:p>
          <a:p>
            <a:pPr>
              <a:defRPr/>
            </a:pPr>
            <a:r>
              <a:rPr lang="en-US"/>
              <a:t>I - III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36788124016434"/>
          <c:y val="0.22908639439732698"/>
          <c:w val="0.86401565958452764"/>
          <c:h val="0.50675460053901045"/>
        </c:manualLayout>
      </c:layout>
      <c:lineChart>
        <c:grouping val="standard"/>
        <c:varyColors val="0"/>
        <c:ser>
          <c:idx val="0"/>
          <c:order val="0"/>
          <c:tx>
            <c:strRef>
              <c:f>'Зачётное задание'!$A$2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'Зачётное задание'!$H$1:$J$1</c:f>
              <c:strCache>
                <c:ptCount val="3"/>
                <c:pt idx="0">
                  <c:v>Производство за январь (шт.)</c:v>
                </c:pt>
                <c:pt idx="1">
                  <c:v>Производство за февраль (шт.)</c:v>
                </c:pt>
                <c:pt idx="2">
                  <c:v>Производство за март (шт.)</c:v>
                </c:pt>
              </c:strCache>
            </c:strRef>
          </c:cat>
          <c:val>
            <c:numRef>
              <c:f>'Зачётное задание'!$H$2:$J$2</c:f>
              <c:numCache>
                <c:formatCode>0</c:formatCode>
                <c:ptCount val="3"/>
                <c:pt idx="0" formatCode="General">
                  <c:v>150</c:v>
                </c:pt>
                <c:pt idx="1">
                  <c:v>157.5</c:v>
                </c:pt>
                <c:pt idx="2">
                  <c:v>159.86250000000001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8-46C1-BF8E-695C63FFC67F}"/>
            </c:ext>
          </c:extLst>
        </c:ser>
        <c:ser>
          <c:idx val="1"/>
          <c:order val="1"/>
          <c:tx>
            <c:strRef>
              <c:f>'Зачётное задание'!$A$3</c:f>
              <c:strCache>
                <c:ptCount val="1"/>
                <c:pt idx="0">
                  <c:v>II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'Зачётное задание'!$H$1:$J$1</c:f>
              <c:strCache>
                <c:ptCount val="3"/>
                <c:pt idx="0">
                  <c:v>Производство за январь (шт.)</c:v>
                </c:pt>
                <c:pt idx="1">
                  <c:v>Производство за февраль (шт.)</c:v>
                </c:pt>
                <c:pt idx="2">
                  <c:v>Производство за март (шт.)</c:v>
                </c:pt>
              </c:strCache>
            </c:strRef>
          </c:cat>
          <c:val>
            <c:numRef>
              <c:f>'Зачётное задание'!$H$3:$J$3</c:f>
              <c:numCache>
                <c:formatCode>0</c:formatCode>
                <c:ptCount val="3"/>
                <c:pt idx="0" formatCode="General">
                  <c:v>220</c:v>
                </c:pt>
                <c:pt idx="1">
                  <c:v>226.6</c:v>
                </c:pt>
                <c:pt idx="2">
                  <c:v>230.22559999999999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8-46C1-BF8E-695C63FFC67F}"/>
            </c:ext>
          </c:extLst>
        </c:ser>
        <c:ser>
          <c:idx val="2"/>
          <c:order val="2"/>
          <c:tx>
            <c:strRef>
              <c:f>'Зачётное задание'!$A$4</c:f>
              <c:strCache>
                <c:ptCount val="1"/>
                <c:pt idx="0">
                  <c:v>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'Зачётное задание'!$H$1:$J$1</c:f>
              <c:strCache>
                <c:ptCount val="3"/>
                <c:pt idx="0">
                  <c:v>Производство за январь (шт.)</c:v>
                </c:pt>
                <c:pt idx="1">
                  <c:v>Производство за февраль (шт.)</c:v>
                </c:pt>
                <c:pt idx="2">
                  <c:v>Производство за март (шт.)</c:v>
                </c:pt>
              </c:strCache>
            </c:strRef>
          </c:cat>
          <c:val>
            <c:numRef>
              <c:f>'Зачётное задание'!$H$4:$J$4</c:f>
              <c:numCache>
                <c:formatCode>0</c:formatCode>
                <c:ptCount val="3"/>
                <c:pt idx="0" formatCode="General">
                  <c:v>170</c:v>
                </c:pt>
                <c:pt idx="1">
                  <c:v>173.4</c:v>
                </c:pt>
                <c:pt idx="2">
                  <c:v>176.86799999999999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8-46C1-BF8E-695C63FFC6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46814655"/>
        <c:axId val="1946815615"/>
      </c:lineChart>
      <c:catAx>
        <c:axId val="194681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815615"/>
        <c:crosses val="autoZero"/>
        <c:auto val="1"/>
        <c:lblAlgn val="ctr"/>
        <c:lblOffset val="100"/>
        <c:noMultiLvlLbl val="0"/>
      </c:catAx>
      <c:valAx>
        <c:axId val="194681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/>
                  <a:t>Кол-во штук\мес.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81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4762</xdr:rowOff>
    </xdr:from>
    <xdr:to>
      <xdr:col>9</xdr:col>
      <xdr:colOff>619125</xdr:colOff>
      <xdr:row>21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A947C44-8D3A-640A-5963-6A561998C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6</xdr:row>
      <xdr:rowOff>561975</xdr:rowOff>
    </xdr:from>
    <xdr:to>
      <xdr:col>12</xdr:col>
      <xdr:colOff>369887</xdr:colOff>
      <xdr:row>22</xdr:row>
      <xdr:rowOff>138112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B12618E-32DE-F762-282F-D1A15766E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D21" sqref="D21"/>
    </sheetView>
  </sheetViews>
  <sheetFormatPr defaultRowHeight="15" x14ac:dyDescent="0.25"/>
  <cols>
    <col min="1" max="1" width="12.85546875" style="2" customWidth="1"/>
    <col min="2" max="2" width="13.5703125" style="2" customWidth="1"/>
    <col min="3" max="3" width="13.140625" style="2" customWidth="1"/>
    <col min="4" max="4" width="11.42578125" style="2" customWidth="1"/>
    <col min="5" max="5" width="15.5703125" style="2" customWidth="1"/>
    <col min="6" max="6" width="16.28515625" style="2" customWidth="1"/>
    <col min="7" max="7" width="14.42578125" style="2" customWidth="1"/>
    <col min="8" max="8" width="15.7109375" style="2" customWidth="1"/>
    <col min="9" max="9" width="12.85546875" style="2" customWidth="1"/>
    <col min="10" max="10" width="14" style="2" customWidth="1"/>
    <col min="11" max="11" width="9.140625" style="1"/>
  </cols>
  <sheetData>
    <row r="1" spans="1:10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6">
        <v>8800</v>
      </c>
      <c r="C2" s="7">
        <f>$D$9 * B2</f>
        <v>737440</v>
      </c>
      <c r="D2" s="4">
        <v>45</v>
      </c>
      <c r="E2" s="6">
        <f>B2 * D2</f>
        <v>396000</v>
      </c>
      <c r="F2" s="7">
        <f>C2 * D2</f>
        <v>33184800</v>
      </c>
      <c r="G2" s="6">
        <f>H2 / $D$9</f>
        <v>9164.6778042959431</v>
      </c>
      <c r="H2" s="5">
        <v>768000</v>
      </c>
      <c r="I2" s="6">
        <f>G2 * D2 - E2</f>
        <v>16410.501193317468</v>
      </c>
      <c r="J2" s="5">
        <f>H2 * D2 - F2</f>
        <v>1375200</v>
      </c>
    </row>
    <row r="3" spans="1:10" x14ac:dyDescent="0.25">
      <c r="A3" s="4" t="s">
        <v>11</v>
      </c>
      <c r="B3" s="6">
        <v>7260</v>
      </c>
      <c r="C3" s="7">
        <f t="shared" ref="C3:C5" si="0">$D$9 * B3</f>
        <v>608388</v>
      </c>
      <c r="D3" s="4">
        <v>35</v>
      </c>
      <c r="E3" s="6">
        <f t="shared" ref="E3:E5" si="1">B3 * D3</f>
        <v>254100</v>
      </c>
      <c r="F3" s="7">
        <f t="shared" ref="F3:F5" si="2">C3 * D3</f>
        <v>21293580</v>
      </c>
      <c r="G3" s="6">
        <f t="shared" ref="G3:G5" si="3">H3 / $D$9</f>
        <v>7732.6968973747016</v>
      </c>
      <c r="H3" s="5">
        <v>648000</v>
      </c>
      <c r="I3" s="6">
        <f t="shared" ref="I3:I5" si="4">G3 * D3 - E3</f>
        <v>16544.391408114578</v>
      </c>
      <c r="J3" s="5">
        <f t="shared" ref="J3:J5" si="5">H3 * D3 - F3</f>
        <v>1386420</v>
      </c>
    </row>
    <row r="4" spans="1:10" x14ac:dyDescent="0.25">
      <c r="A4" s="4" t="s">
        <v>12</v>
      </c>
      <c r="B4" s="6">
        <v>6860</v>
      </c>
      <c r="C4" s="7">
        <f t="shared" si="0"/>
        <v>574868</v>
      </c>
      <c r="D4" s="4">
        <v>30</v>
      </c>
      <c r="E4" s="6">
        <f t="shared" si="1"/>
        <v>205800</v>
      </c>
      <c r="F4" s="7">
        <f t="shared" si="2"/>
        <v>17246040</v>
      </c>
      <c r="G4" s="6">
        <f t="shared" si="3"/>
        <v>7303.1026252983293</v>
      </c>
      <c r="H4" s="5">
        <v>612000</v>
      </c>
      <c r="I4" s="6">
        <f t="shared" si="4"/>
        <v>13293.07875894988</v>
      </c>
      <c r="J4" s="5">
        <f t="shared" si="5"/>
        <v>1113960</v>
      </c>
    </row>
    <row r="5" spans="1:10" ht="15.75" thickBot="1" x14ac:dyDescent="0.3">
      <c r="A5" s="4" t="s">
        <v>13</v>
      </c>
      <c r="B5" s="6">
        <v>7030</v>
      </c>
      <c r="C5" s="9">
        <f t="shared" si="0"/>
        <v>589114</v>
      </c>
      <c r="D5" s="10">
        <v>27</v>
      </c>
      <c r="E5" s="11">
        <f t="shared" si="1"/>
        <v>189810</v>
      </c>
      <c r="F5" s="9">
        <f t="shared" si="2"/>
        <v>15906078</v>
      </c>
      <c r="G5" s="11">
        <f t="shared" si="3"/>
        <v>7446.3007159904537</v>
      </c>
      <c r="H5" s="12">
        <v>624000</v>
      </c>
      <c r="I5" s="11">
        <f t="shared" si="4"/>
        <v>11240.119331742259</v>
      </c>
      <c r="J5" s="12">
        <f t="shared" si="5"/>
        <v>941922</v>
      </c>
    </row>
    <row r="6" spans="1:10" ht="15.75" thickTop="1" x14ac:dyDescent="0.25">
      <c r="C6" s="8" t="s">
        <v>14</v>
      </c>
      <c r="D6" s="8"/>
      <c r="E6" s="13">
        <f>SUM(E2:E5)</f>
        <v>1045710</v>
      </c>
      <c r="F6" s="14">
        <f>SUM(F2:F5)</f>
        <v>87630498</v>
      </c>
      <c r="G6" s="8" t="s">
        <v>15</v>
      </c>
      <c r="H6" s="8"/>
      <c r="I6" s="13">
        <f>SUM(I2:I5)</f>
        <v>57488.090692124184</v>
      </c>
      <c r="J6" s="15">
        <f>SUM(J2:J5)</f>
        <v>4817502</v>
      </c>
    </row>
    <row r="9" spans="1:10" ht="30" x14ac:dyDescent="0.25">
      <c r="C9" s="17" t="s">
        <v>16</v>
      </c>
      <c r="D9" s="5">
        <v>83.8</v>
      </c>
    </row>
    <row r="10" spans="1:10" x14ac:dyDescent="0.25">
      <c r="B10" s="16"/>
      <c r="C10" s="16"/>
      <c r="D10" s="16"/>
    </row>
    <row r="11" spans="1:10" x14ac:dyDescent="0.25">
      <c r="B11" s="16"/>
      <c r="C11" s="16"/>
      <c r="D11" s="16"/>
    </row>
  </sheetData>
  <mergeCells count="2">
    <mergeCell ref="C6:D6"/>
    <mergeCell ref="G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9483-6A9E-4675-A6D6-B188DA1A02D2}">
  <dimension ref="A1:J7"/>
  <sheetViews>
    <sheetView tabSelected="1" zoomScaleNormal="100" workbookViewId="0">
      <selection activeCell="O6" sqref="O6"/>
    </sheetView>
  </sheetViews>
  <sheetFormatPr defaultRowHeight="15" x14ac:dyDescent="0.25"/>
  <cols>
    <col min="1" max="1" width="9.140625" style="1"/>
    <col min="2" max="3" width="11.7109375" style="1" customWidth="1"/>
    <col min="4" max="4" width="13.85546875" style="1" customWidth="1"/>
    <col min="5" max="5" width="14" style="1" customWidth="1"/>
    <col min="6" max="9" width="13.7109375" style="1" customWidth="1"/>
    <col min="10" max="10" width="13.7109375" customWidth="1"/>
  </cols>
  <sheetData>
    <row r="1" spans="1:10" ht="60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22" t="s">
        <v>28</v>
      </c>
      <c r="G1" s="22" t="s">
        <v>29</v>
      </c>
      <c r="H1" s="3" t="s">
        <v>22</v>
      </c>
      <c r="I1" s="3" t="s">
        <v>23</v>
      </c>
      <c r="J1" s="3" t="s">
        <v>24</v>
      </c>
    </row>
    <row r="2" spans="1:10" x14ac:dyDescent="0.25">
      <c r="A2" s="18" t="s">
        <v>25</v>
      </c>
      <c r="B2" s="19">
        <f>C2 / $B$7</f>
        <v>11.933174224343675</v>
      </c>
      <c r="C2" s="20">
        <v>1000</v>
      </c>
      <c r="D2" s="19">
        <f>E2 / $B$7</f>
        <v>4.1766109785202863</v>
      </c>
      <c r="E2" s="20">
        <v>350</v>
      </c>
      <c r="F2" s="19">
        <f>B2 - D2</f>
        <v>7.7565632458233891</v>
      </c>
      <c r="G2" s="20">
        <f>C2 - E2</f>
        <v>650</v>
      </c>
      <c r="H2" s="18">
        <v>150</v>
      </c>
      <c r="I2" s="21">
        <f>H2 + H2 * 0.05</f>
        <v>157.5</v>
      </c>
      <c r="J2" s="21">
        <f xml:space="preserve"> I2 + I2 * 0.015</f>
        <v>159.86250000000001</v>
      </c>
    </row>
    <row r="3" spans="1:10" x14ac:dyDescent="0.25">
      <c r="A3" s="18" t="s">
        <v>26</v>
      </c>
      <c r="B3" s="19">
        <f t="shared" ref="B3:B4" si="0">C3 / $B$7</f>
        <v>10.739856801909308</v>
      </c>
      <c r="C3" s="20">
        <v>900</v>
      </c>
      <c r="D3" s="19">
        <f t="shared" ref="D3:D4" si="1">E3 / $B$7</f>
        <v>3.5799522673031028</v>
      </c>
      <c r="E3" s="20">
        <v>300</v>
      </c>
      <c r="F3" s="19">
        <f t="shared" ref="F3:F4" si="2">B3 - D3</f>
        <v>7.1599045346062056</v>
      </c>
      <c r="G3" s="20">
        <f t="shared" ref="G3:G4" si="3">C3 - E3</f>
        <v>600</v>
      </c>
      <c r="H3" s="18">
        <v>220</v>
      </c>
      <c r="I3" s="21">
        <f>H3 + H3 * 0.03</f>
        <v>226.6</v>
      </c>
      <c r="J3" s="21">
        <f xml:space="preserve"> I3 + I3 * 0.016</f>
        <v>230.22559999999999</v>
      </c>
    </row>
    <row r="4" spans="1:10" ht="15.75" thickBot="1" x14ac:dyDescent="0.3">
      <c r="A4" s="18" t="s">
        <v>27</v>
      </c>
      <c r="B4" s="19">
        <f t="shared" si="0"/>
        <v>10.143198090692124</v>
      </c>
      <c r="C4" s="20">
        <v>850</v>
      </c>
      <c r="D4" s="19">
        <f t="shared" si="1"/>
        <v>2.9832935560859188</v>
      </c>
      <c r="E4" s="20">
        <v>250</v>
      </c>
      <c r="F4" s="27">
        <f t="shared" si="2"/>
        <v>7.1599045346062056</v>
      </c>
      <c r="G4" s="28">
        <f t="shared" si="3"/>
        <v>600</v>
      </c>
      <c r="H4" s="29">
        <v>170</v>
      </c>
      <c r="I4" s="30">
        <f>H4 + H4 * 0.02</f>
        <v>173.4</v>
      </c>
      <c r="J4" s="30">
        <f xml:space="preserve"> I4 + I4 * 0.02</f>
        <v>176.86799999999999</v>
      </c>
    </row>
    <row r="5" spans="1:10" ht="30" customHeight="1" thickTop="1" x14ac:dyDescent="0.25">
      <c r="F5" s="25" t="s">
        <v>30</v>
      </c>
      <c r="G5" s="25"/>
      <c r="H5" s="26">
        <f>H2*$D$2+H3*$D$3+H4*$D$4</f>
        <v>1921.2410501193317</v>
      </c>
      <c r="I5" s="26">
        <f t="shared" ref="I5:J5" si="4">I2*$D$2+I3*$D$3+I4*$D$4</f>
        <v>1986.3365155131264</v>
      </c>
      <c r="J5" s="26">
        <f t="shared" si="4"/>
        <v>2019.5292959427209</v>
      </c>
    </row>
    <row r="6" spans="1:10" ht="30" customHeight="1" x14ac:dyDescent="0.25">
      <c r="F6" s="23" t="s">
        <v>31</v>
      </c>
      <c r="G6" s="23"/>
      <c r="H6" s="24">
        <f>H2*$E$2+H3*$E$3+H4*$E$4</f>
        <v>161000</v>
      </c>
      <c r="I6" s="24">
        <f t="shared" ref="I6:J6" si="5">I2*$E$2+I3*$E$3+I4*$E$4</f>
        <v>166455</v>
      </c>
      <c r="J6" s="24">
        <f t="shared" si="5"/>
        <v>169236.55499999999</v>
      </c>
    </row>
    <row r="7" spans="1:10" ht="45" x14ac:dyDescent="0.25">
      <c r="A7" s="17" t="s">
        <v>16</v>
      </c>
      <c r="B7" s="7">
        <v>83.8</v>
      </c>
    </row>
  </sheetData>
  <mergeCells count="2">
    <mergeCell ref="F5:G5"/>
    <mergeCell ref="F6:G6"/>
  </mergeCells>
  <pageMargins left="0.7" right="0.7" top="0.75" bottom="0.75" header="0.3" footer="0.3"/>
  <pageSetup paperSize="9" orientation="portrait" r:id="rId1"/>
  <headerFooter>
    <oddHeader>&amp;C11ОП, Мартьянов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Новые машины фирмы Эллада</vt:lpstr>
      <vt:lpstr>Зачётное 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Майк Грей</dc:creator>
  <cp:lastModifiedBy>Майк Грей</cp:lastModifiedBy>
  <dcterms:created xsi:type="dcterms:W3CDTF">2015-06-05T18:19:34Z</dcterms:created>
  <dcterms:modified xsi:type="dcterms:W3CDTF">2026-10-13T10:33:44Z</dcterms:modified>
</cp:coreProperties>
</file>