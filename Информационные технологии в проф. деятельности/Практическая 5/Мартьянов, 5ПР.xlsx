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4fb4a514811215b/Рабочий стол/Projects/Информационные технологии в проф. деятельности/Практическая 5/"/>
    </mc:Choice>
  </mc:AlternateContent>
  <xr:revisionPtr revIDLastSave="2" documentId="11_AD4DF75460589B3ACB728462AFDF77D25ADEDD93" xr6:coauthVersionLast="47" xr6:coauthVersionMax="47" xr10:uidLastSave="{8E4B46B7-B522-472B-B24B-3B903EE2A470}"/>
  <bookViews>
    <workbookView xWindow="-120" yWindow="-120" windowWidth="29040" windowHeight="15720" activeTab="3" xr2:uid="{00000000-000D-0000-FFFF-FFFF00000000}"/>
  </bookViews>
  <sheets>
    <sheet name="Расч. стоимости" sheetId="1" r:id="rId1"/>
    <sheet name="Блестящие итоги" sheetId="2" r:id="rId2"/>
    <sheet name="Графики 1 и 2" sheetId="3" r:id="rId3"/>
    <sheet name="Зачётное задание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4" l="1"/>
  <c r="P5" i="4"/>
  <c r="P6" i="4"/>
  <c r="P7" i="4"/>
  <c r="P8" i="4"/>
  <c r="P9" i="4"/>
  <c r="P10" i="4"/>
  <c r="P11" i="4"/>
  <c r="P12" i="4"/>
  <c r="P13" i="4"/>
  <c r="P3" i="4"/>
  <c r="O4" i="4"/>
  <c r="O5" i="4"/>
  <c r="O6" i="4"/>
  <c r="O7" i="4"/>
  <c r="O8" i="4"/>
  <c r="O9" i="4"/>
  <c r="O10" i="4"/>
  <c r="O11" i="4"/>
  <c r="O12" i="4"/>
  <c r="O13" i="4"/>
  <c r="O3" i="4"/>
  <c r="F5" i="4"/>
  <c r="F4" i="4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4" i="3"/>
  <c r="D8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<sst xmlns="http://schemas.openxmlformats.org/spreadsheetml/2006/main" count="85" uniqueCount="60">
  <si>
    <t>Товар</t>
  </si>
  <si>
    <t>Цена</t>
  </si>
  <si>
    <t>Количество</t>
  </si>
  <si>
    <t>Стоимость</t>
  </si>
  <si>
    <t>Карандаш</t>
  </si>
  <si>
    <t>Тетрадь</t>
  </si>
  <si>
    <t>Папки</t>
  </si>
  <si>
    <t>Бумага</t>
  </si>
  <si>
    <t>Фломастеры</t>
  </si>
  <si>
    <t>Расчёт стоимости товара</t>
  </si>
  <si>
    <t>Сумма</t>
  </si>
  <si>
    <t>Блестящие итоги</t>
  </si>
  <si>
    <t>Стоимость в тыс. пиастров</t>
  </si>
  <si>
    <t>Золото</t>
  </si>
  <si>
    <t>Бриллианты</t>
  </si>
  <si>
    <t>Район 1</t>
  </si>
  <si>
    <t>Район 2</t>
  </si>
  <si>
    <t>Район 3</t>
  </si>
  <si>
    <t>Район 4</t>
  </si>
  <si>
    <t>Район 5</t>
  </si>
  <si>
    <t>Функция первая</t>
  </si>
  <si>
    <t>Функция вторая</t>
  </si>
  <si>
    <t>x</t>
  </si>
  <si>
    <t>y</t>
  </si>
  <si>
    <t>sin(x)</t>
  </si>
  <si>
    <t>cos(x)</t>
  </si>
  <si>
    <t>Группа 123АБВ</t>
  </si>
  <si>
    <t>Имя</t>
  </si>
  <si>
    <t>Пол</t>
  </si>
  <si>
    <t>Александр</t>
  </si>
  <si>
    <t>м</t>
  </si>
  <si>
    <t>ж</t>
  </si>
  <si>
    <t>Дмитрий</t>
  </si>
  <si>
    <t>Кирилл</t>
  </si>
  <si>
    <t>Елизавета</t>
  </si>
  <si>
    <t>Виктория</t>
  </si>
  <si>
    <t>Роман</t>
  </si>
  <si>
    <t>Полина</t>
  </si>
  <si>
    <t>Олег</t>
  </si>
  <si>
    <t>Ксения</t>
  </si>
  <si>
    <t>Игорь</t>
  </si>
  <si>
    <t>Светлана</t>
  </si>
  <si>
    <t>Никита</t>
  </si>
  <si>
    <t>Юлия</t>
  </si>
  <si>
    <t>Андрей</t>
  </si>
  <si>
    <t>Маргарита</t>
  </si>
  <si>
    <t>Лев</t>
  </si>
  <si>
    <t>Татьяна</t>
  </si>
  <si>
    <t>Борис</t>
  </si>
  <si>
    <t>Ирина</t>
  </si>
  <si>
    <t>Семён</t>
  </si>
  <si>
    <t>Варвара</t>
  </si>
  <si>
    <t>Фёдор</t>
  </si>
  <si>
    <t>Артём</t>
  </si>
  <si>
    <t>Евгений</t>
  </si>
  <si>
    <t>Тимофей</t>
  </si>
  <si>
    <t>Юноши</t>
  </si>
  <si>
    <t>Девушки</t>
  </si>
  <si>
    <t>sin^2(x)</t>
  </si>
  <si>
    <t>cos^2(x)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</si>
</sst>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6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164" fontId="1" fillId="0" borderId="9" xfId="0" applyNumberFormat="1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'Расч. стоимости'!$D$2</c:f>
              <c:strCache>
                <c:ptCount val="1"/>
                <c:pt idx="0">
                  <c:v>Стоимость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908-4A77-B7E4-5BD2543F5D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908-4A77-B7E4-5BD2543F5D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908-4A77-B7E4-5BD2543F5D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908-4A77-B7E4-5BD2543F5D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908-4A77-B7E4-5BD2543F5DD4}"/>
              </c:ext>
            </c:extLst>
          </c:dPt>
          <c:cat>
            <c:strRef>
              <c:f>'Расч. стоимости'!$A$3:$A$7</c:f>
              <c:strCache>
                <c:ptCount val="5"/>
                <c:pt idx="0">
                  <c:v>Карандаш</c:v>
                </c:pt>
                <c:pt idx="1">
                  <c:v>Тетрадь</c:v>
                </c:pt>
                <c:pt idx="2">
                  <c:v>Папки</c:v>
                </c:pt>
                <c:pt idx="3">
                  <c:v>Бумага</c:v>
                </c:pt>
                <c:pt idx="4">
                  <c:v>Фломастеры</c:v>
                </c:pt>
              </c:strCache>
            </c:strRef>
          </c:cat>
          <c:val>
            <c:numRef>
              <c:f>'Расч. стоимости'!$D$3:$D$7</c:f>
              <c:numCache>
                <c:formatCode>#\ ##0.00\ "₽"</c:formatCode>
                <c:ptCount val="5"/>
                <c:pt idx="0">
                  <c:v>50</c:v>
                </c:pt>
                <c:pt idx="1">
                  <c:v>180</c:v>
                </c:pt>
                <c:pt idx="2">
                  <c:v>40</c:v>
                </c:pt>
                <c:pt idx="3">
                  <c:v>80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2-45EA-BC2E-EA32E9DF5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'Расч. стоимости'!$D$2</c:f>
              <c:strCache>
                <c:ptCount val="1"/>
                <c:pt idx="0">
                  <c:v>Стоимость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FD-4766-A2F2-AD525CBE00F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FD-4766-A2F2-AD525CBE00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FD-4766-A2F2-AD525CBE00F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FD-4766-A2F2-AD525CBE00F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FD-4766-A2F2-AD525CBE00F4}"/>
              </c:ext>
            </c:extLst>
          </c:dPt>
          <c:cat>
            <c:strRef>
              <c:f>'Расч. стоимости'!$A$3:$A$7</c:f>
              <c:strCache>
                <c:ptCount val="5"/>
                <c:pt idx="0">
                  <c:v>Карандаш</c:v>
                </c:pt>
                <c:pt idx="1">
                  <c:v>Тетрадь</c:v>
                </c:pt>
                <c:pt idx="2">
                  <c:v>Папки</c:v>
                </c:pt>
                <c:pt idx="3">
                  <c:v>Бумага</c:v>
                </c:pt>
                <c:pt idx="4">
                  <c:v>Фломастеры</c:v>
                </c:pt>
              </c:strCache>
            </c:strRef>
          </c:cat>
          <c:val>
            <c:numRef>
              <c:f>'Расч. стоимости'!$D$3:$D$7</c:f>
              <c:numCache>
                <c:formatCode>#\ ##0.00\ "₽"</c:formatCode>
                <c:ptCount val="5"/>
                <c:pt idx="0">
                  <c:v>50</c:v>
                </c:pt>
                <c:pt idx="1">
                  <c:v>180</c:v>
                </c:pt>
                <c:pt idx="2">
                  <c:v>40</c:v>
                </c:pt>
                <c:pt idx="3">
                  <c:v>80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FD-4766-A2F2-AD525CBE0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91615664"/>
        <c:axId val="1791601744"/>
      </c:barChart>
      <c:catAx>
        <c:axId val="179161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1601744"/>
        <c:crosses val="autoZero"/>
        <c:auto val="1"/>
        <c:lblAlgn val="ctr"/>
        <c:lblOffset val="100"/>
        <c:noMultiLvlLbl val="0"/>
      </c:catAx>
      <c:valAx>
        <c:axId val="17916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161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Блестящие итоги работы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'Блестящие итоги'!$B$3</c:f>
              <c:strCache>
                <c:ptCount val="1"/>
                <c:pt idx="0">
                  <c:v>Золото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'Блестящие итоги'!$A$4:$A$8</c:f>
              <c:strCache>
                <c:ptCount val="5"/>
                <c:pt idx="0">
                  <c:v>Район 1</c:v>
                </c:pt>
                <c:pt idx="1">
                  <c:v>Район 2</c:v>
                </c:pt>
                <c:pt idx="2">
                  <c:v>Район 3</c:v>
                </c:pt>
                <c:pt idx="3">
                  <c:v>Район 4</c:v>
                </c:pt>
                <c:pt idx="4">
                  <c:v>Район 5</c:v>
                </c:pt>
              </c:strCache>
            </c:strRef>
          </c:cat>
          <c:val>
            <c:numRef>
              <c:f>'Блестящие итоги'!$B$4:$B$8</c:f>
              <c:numCache>
                <c:formatCode>General</c:formatCode>
                <c:ptCount val="5"/>
                <c:pt idx="0">
                  <c:v>2000</c:v>
                </c:pt>
                <c:pt idx="1">
                  <c:v>1810</c:v>
                </c:pt>
                <c:pt idx="2">
                  <c:v>1820</c:v>
                </c:pt>
                <c:pt idx="3">
                  <c:v>1900</c:v>
                </c:pt>
                <c:pt idx="4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4-4EA4-A61A-BA8D565C6865}"/>
            </c:ext>
          </c:extLst>
        </c:ser>
        <c:ser>
          <c:idx val="1"/>
          <c:order val="1"/>
          <c:tx>
            <c:strRef>
              <c:f>'Блестящие итоги'!$C$3</c:f>
              <c:strCache>
                <c:ptCount val="1"/>
                <c:pt idx="0">
                  <c:v>Бриллианты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'Блестящие итоги'!$A$4:$A$8</c:f>
              <c:strCache>
                <c:ptCount val="5"/>
                <c:pt idx="0">
                  <c:v>Район 1</c:v>
                </c:pt>
                <c:pt idx="1">
                  <c:v>Район 2</c:v>
                </c:pt>
                <c:pt idx="2">
                  <c:v>Район 3</c:v>
                </c:pt>
                <c:pt idx="3">
                  <c:v>Район 4</c:v>
                </c:pt>
                <c:pt idx="4">
                  <c:v>Район 5</c:v>
                </c:pt>
              </c:strCache>
            </c:strRef>
          </c:cat>
          <c:val>
            <c:numRef>
              <c:f>'Блестящие итоги'!$C$4:$C$8</c:f>
              <c:numCache>
                <c:formatCode>General</c:formatCode>
                <c:ptCount val="5"/>
                <c:pt idx="0">
                  <c:v>900</c:v>
                </c:pt>
                <c:pt idx="1">
                  <c:v>1020</c:v>
                </c:pt>
                <c:pt idx="2">
                  <c:v>1500</c:v>
                </c:pt>
                <c:pt idx="3">
                  <c:v>1060</c:v>
                </c:pt>
                <c:pt idx="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4-4EA4-A61A-BA8D565C6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638960"/>
        <c:axId val="1791639440"/>
      </c:barChart>
      <c:catAx>
        <c:axId val="179163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1639440"/>
        <c:crosses val="autoZero"/>
        <c:auto val="1"/>
        <c:lblAlgn val="ctr"/>
        <c:lblOffset val="100"/>
        <c:noMultiLvlLbl val="0"/>
      </c:catAx>
      <c:valAx>
        <c:axId val="17916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Стоимость в тыс. пиастров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163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 у = 2х 2 +4х - 7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'Графики 1 и 2'!$C$3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'Графики 1 и 2'!$B$4:$B$36</c:f>
              <c:numCache>
                <c:formatCode>General</c:formatCode>
                <c:ptCount val="33"/>
                <c:pt idx="0">
                  <c:v>-8</c:v>
                </c:pt>
                <c:pt idx="1">
                  <c:v>-7.5</c:v>
                </c:pt>
                <c:pt idx="2">
                  <c:v>-7</c:v>
                </c:pt>
                <c:pt idx="3">
                  <c:v>-6.5</c:v>
                </c:pt>
                <c:pt idx="4">
                  <c:v>-6</c:v>
                </c:pt>
                <c:pt idx="5">
                  <c:v>-5.5</c:v>
                </c:pt>
                <c:pt idx="6">
                  <c:v>-5</c:v>
                </c:pt>
                <c:pt idx="7">
                  <c:v>-4.5</c:v>
                </c:pt>
                <c:pt idx="8">
                  <c:v>-4</c:v>
                </c:pt>
                <c:pt idx="9">
                  <c:v>-3.5</c:v>
                </c:pt>
                <c:pt idx="10">
                  <c:v>-3</c:v>
                </c:pt>
                <c:pt idx="11">
                  <c:v>-2.5</c:v>
                </c:pt>
                <c:pt idx="12">
                  <c:v>-2</c:v>
                </c:pt>
                <c:pt idx="13">
                  <c:v>-1.5</c:v>
                </c:pt>
                <c:pt idx="14">
                  <c:v>-1</c:v>
                </c:pt>
                <c:pt idx="15">
                  <c:v>-0.5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  <c:pt idx="23">
                  <c:v>3.5</c:v>
                </c:pt>
                <c:pt idx="24">
                  <c:v>4</c:v>
                </c:pt>
                <c:pt idx="25">
                  <c:v>4.5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6.5</c:v>
                </c:pt>
                <c:pt idx="30">
                  <c:v>7</c:v>
                </c:pt>
                <c:pt idx="31">
                  <c:v>7.5</c:v>
                </c:pt>
                <c:pt idx="32">
                  <c:v>8</c:v>
                </c:pt>
              </c:numCache>
            </c:numRef>
          </c:xVal>
          <c:yVal>
            <c:numRef>
              <c:f>'Графики 1 и 2'!$C$4:$C$36</c:f>
              <c:numCache>
                <c:formatCode>General</c:formatCode>
                <c:ptCount val="33"/>
                <c:pt idx="0">
                  <c:v>89</c:v>
                </c:pt>
                <c:pt idx="1">
                  <c:v>75.5</c:v>
                </c:pt>
                <c:pt idx="2">
                  <c:v>63</c:v>
                </c:pt>
                <c:pt idx="3">
                  <c:v>51.5</c:v>
                </c:pt>
                <c:pt idx="4">
                  <c:v>41</c:v>
                </c:pt>
                <c:pt idx="5">
                  <c:v>31.5</c:v>
                </c:pt>
                <c:pt idx="6">
                  <c:v>23</c:v>
                </c:pt>
                <c:pt idx="7">
                  <c:v>15.5</c:v>
                </c:pt>
                <c:pt idx="8">
                  <c:v>9</c:v>
                </c:pt>
                <c:pt idx="9">
                  <c:v>3.5</c:v>
                </c:pt>
                <c:pt idx="10">
                  <c:v>-1</c:v>
                </c:pt>
                <c:pt idx="11">
                  <c:v>-4.5</c:v>
                </c:pt>
                <c:pt idx="12">
                  <c:v>-7</c:v>
                </c:pt>
                <c:pt idx="13">
                  <c:v>-8.5</c:v>
                </c:pt>
                <c:pt idx="14">
                  <c:v>-9</c:v>
                </c:pt>
                <c:pt idx="15">
                  <c:v>-8.5</c:v>
                </c:pt>
                <c:pt idx="16">
                  <c:v>-7</c:v>
                </c:pt>
                <c:pt idx="17">
                  <c:v>-4.5</c:v>
                </c:pt>
                <c:pt idx="18">
                  <c:v>-1</c:v>
                </c:pt>
                <c:pt idx="19">
                  <c:v>3.5</c:v>
                </c:pt>
                <c:pt idx="20">
                  <c:v>9</c:v>
                </c:pt>
                <c:pt idx="21">
                  <c:v>15.5</c:v>
                </c:pt>
                <c:pt idx="22">
                  <c:v>23</c:v>
                </c:pt>
                <c:pt idx="23">
                  <c:v>31.5</c:v>
                </c:pt>
                <c:pt idx="24">
                  <c:v>41</c:v>
                </c:pt>
                <c:pt idx="25">
                  <c:v>51.5</c:v>
                </c:pt>
                <c:pt idx="26">
                  <c:v>63</c:v>
                </c:pt>
                <c:pt idx="27">
                  <c:v>75.5</c:v>
                </c:pt>
                <c:pt idx="28">
                  <c:v>89</c:v>
                </c:pt>
                <c:pt idx="29">
                  <c:v>103.5</c:v>
                </c:pt>
                <c:pt idx="30">
                  <c:v>119</c:v>
                </c:pt>
                <c:pt idx="31">
                  <c:v>135.5</c:v>
                </c:pt>
                <c:pt idx="32">
                  <c:v>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8-473F-990C-7BCE2ED1C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819936"/>
        <c:axId val="1845830496"/>
      </c:scatterChart>
      <c:valAx>
        <c:axId val="184581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5830496"/>
        <c:crosses val="autoZero"/>
        <c:crossBetween val="midCat"/>
      </c:valAx>
      <c:valAx>
        <c:axId val="184583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581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Графики</a:t>
            </a:r>
            <a:r>
              <a:rPr lang="ru-RU" baseline="0"/>
              <a:t> функций у = </a:t>
            </a:r>
            <a:r>
              <a:rPr lang="en-US" baseline="0"/>
              <a:t>sin (</a:t>
            </a:r>
            <a:r>
              <a:rPr lang="ru-RU" baseline="0"/>
              <a:t>х), у = </a:t>
            </a:r>
            <a:r>
              <a:rPr lang="en-US" baseline="0"/>
              <a:t>cos 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'Графики 1 и 2'!$O$3</c:f>
              <c:strCache>
                <c:ptCount val="1"/>
                <c:pt idx="0">
                  <c:v>sin(x)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'Графики 1 и 2'!$N$4:$N$24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'Графики 1 и 2'!$O$4:$O$24</c:f>
              <c:numCache>
                <c:formatCode>General</c:formatCode>
                <c:ptCount val="21"/>
                <c:pt idx="0">
                  <c:v>0.95892427466313845</c:v>
                </c:pt>
                <c:pt idx="1">
                  <c:v>0.97753011766509701</c:v>
                </c:pt>
                <c:pt idx="2">
                  <c:v>0.7568024953079282</c:v>
                </c:pt>
                <c:pt idx="3">
                  <c:v>0.35078322768961984</c:v>
                </c:pt>
                <c:pt idx="4">
                  <c:v>-0.14112000805986721</c:v>
                </c:pt>
                <c:pt idx="5">
                  <c:v>-0.59847214410395655</c:v>
                </c:pt>
                <c:pt idx="6">
                  <c:v>-0.90929742682568171</c:v>
                </c:pt>
                <c:pt idx="7">
                  <c:v>-0.99749498660405445</c:v>
                </c:pt>
                <c:pt idx="8">
                  <c:v>-0.8414709848078965</c:v>
                </c:pt>
                <c:pt idx="9">
                  <c:v>-0.47942553860420301</c:v>
                </c:pt>
                <c:pt idx="10">
                  <c:v>0</c:v>
                </c:pt>
                <c:pt idx="11">
                  <c:v>0.47942553860420301</c:v>
                </c:pt>
                <c:pt idx="12">
                  <c:v>0.8414709848078965</c:v>
                </c:pt>
                <c:pt idx="13">
                  <c:v>0.99749498660405445</c:v>
                </c:pt>
                <c:pt idx="14">
                  <c:v>0.90929742682568171</c:v>
                </c:pt>
                <c:pt idx="15">
                  <c:v>0.59847214410395655</c:v>
                </c:pt>
                <c:pt idx="16">
                  <c:v>0.14112000805986721</c:v>
                </c:pt>
                <c:pt idx="17">
                  <c:v>-0.35078322768961984</c:v>
                </c:pt>
                <c:pt idx="18">
                  <c:v>-0.7568024953079282</c:v>
                </c:pt>
                <c:pt idx="19">
                  <c:v>-0.97753011766509701</c:v>
                </c:pt>
                <c:pt idx="20">
                  <c:v>-0.95892427466313845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E0-46F2-B756-9C2F60DF0C7D}"/>
            </c:ext>
          </c:extLst>
        </c:ser>
        <c:ser>
          <c:idx val="1"/>
          <c:order val="1"/>
          <c:tx>
            <c:strRef>
              <c:f>'Графики 1 и 2'!$P$3</c:f>
              <c:strCache>
                <c:ptCount val="1"/>
                <c:pt idx="0">
                  <c:v>cos(x)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'Графики 1 и 2'!$N$4:$N$24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'Графики 1 и 2'!$P$4:$P$24</c:f>
              <c:numCache>
                <c:formatCode>General</c:formatCode>
                <c:ptCount val="21"/>
                <c:pt idx="0">
                  <c:v>0.28366218546322625</c:v>
                </c:pt>
                <c:pt idx="1">
                  <c:v>-0.2107957994307797</c:v>
                </c:pt>
                <c:pt idx="2">
                  <c:v>-0.65364362086361194</c:v>
                </c:pt>
                <c:pt idx="3">
                  <c:v>-0.93645668729079634</c:v>
                </c:pt>
                <c:pt idx="4">
                  <c:v>-0.98999249660044542</c:v>
                </c:pt>
                <c:pt idx="5">
                  <c:v>-0.8011436155469337</c:v>
                </c:pt>
                <c:pt idx="6">
                  <c:v>-0.41614683654714241</c:v>
                </c:pt>
                <c:pt idx="7">
                  <c:v>7.0737201667702906E-2</c:v>
                </c:pt>
                <c:pt idx="8">
                  <c:v>0.54030230586813977</c:v>
                </c:pt>
                <c:pt idx="9">
                  <c:v>0.87758256189037276</c:v>
                </c:pt>
                <c:pt idx="10">
                  <c:v>1</c:v>
                </c:pt>
                <c:pt idx="11">
                  <c:v>0.87758256189037276</c:v>
                </c:pt>
                <c:pt idx="12">
                  <c:v>0.54030230586813977</c:v>
                </c:pt>
                <c:pt idx="13">
                  <c:v>7.0737201667702906E-2</c:v>
                </c:pt>
                <c:pt idx="14">
                  <c:v>-0.41614683654714241</c:v>
                </c:pt>
                <c:pt idx="15">
                  <c:v>-0.8011436155469337</c:v>
                </c:pt>
                <c:pt idx="16">
                  <c:v>-0.98999249660044542</c:v>
                </c:pt>
                <c:pt idx="17">
                  <c:v>-0.93645668729079634</c:v>
                </c:pt>
                <c:pt idx="18">
                  <c:v>-0.65364362086361194</c:v>
                </c:pt>
                <c:pt idx="19">
                  <c:v>-0.2107957994307797</c:v>
                </c:pt>
                <c:pt idx="20">
                  <c:v>0.28366218546322625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E0-46F2-B756-9C2F60DF0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650960"/>
        <c:axId val="1791653360"/>
      </c:scatterChart>
      <c:valAx>
        <c:axId val="179165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1653360"/>
        <c:crosses val="autoZero"/>
        <c:crossBetween val="midCat"/>
      </c:valAx>
      <c:valAx>
        <c:axId val="17916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1650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Соотношение юношей и девушек в группе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'Зачётное задание'!$E$4:$E$5</c:f>
              <c:strCache>
                <c:ptCount val="2"/>
                <c:pt idx="0">
                  <c:v>Юноши</c:v>
                </c:pt>
                <c:pt idx="1">
                  <c:v>Девушки</c:v>
                </c:pt>
              </c:strCache>
            </c:strRef>
          </c:cat>
          <c:val>
            <c:numRef>
              <c:f>'Зачётное задание'!$F$4:$F$5</c:f>
              <c:numCache>
                <c:formatCode>General</c:formatCode>
                <c:ptCount val="2"/>
                <c:pt idx="0">
                  <c:v>15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8AB-BED0-B3DB5644B6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Графики</a:t>
            </a:r>
            <a:r>
              <a:rPr lang="ru-RU" baseline="0"/>
              <a:t> функций у = </a:t>
            </a:r>
            <a:r>
              <a:rPr lang="en-US" baseline="0"/>
              <a:t>sin^2 x, </a:t>
            </a:r>
            <a:r>
              <a:rPr lang="ru-RU" baseline="0"/>
              <a:t>у = </a:t>
            </a:r>
            <a:r>
              <a:rPr lang="en-US" baseline="0"/>
              <a:t>cos^2 x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'Зачётное задание'!$O$2</c:f>
              <c:strCache>
                <c:ptCount val="1"/>
                <c:pt idx="0">
                  <c:v>sin^2(x)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'Зачётное задание'!$N$3:$N$13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'Зачётное задание'!$O$3:$O$13</c:f>
              <c:numCache>
                <c:formatCode>General</c:formatCode>
                <c:ptCount val="11"/>
                <c:pt idx="0">
                  <c:v>0.29595896909330399</c:v>
                </c:pt>
                <c:pt idx="1">
                  <c:v>0.97882974016169233</c:v>
                </c:pt>
                <c:pt idx="2">
                  <c:v>7.8073020633753945E-2</c:v>
                </c:pt>
                <c:pt idx="3">
                  <c:v>0.57275001690430671</c:v>
                </c:pt>
                <c:pt idx="4">
                  <c:v>0.82682181043180603</c:v>
                </c:pt>
                <c:pt idx="5">
                  <c:v>0</c:v>
                </c:pt>
                <c:pt idx="6">
                  <c:v>0.82682181043180603</c:v>
                </c:pt>
                <c:pt idx="7">
                  <c:v>0.57275001690430671</c:v>
                </c:pt>
                <c:pt idx="8">
                  <c:v>7.8073020633753945E-2</c:v>
                </c:pt>
                <c:pt idx="9">
                  <c:v>0.97882974016169233</c:v>
                </c:pt>
                <c:pt idx="10">
                  <c:v>0.29595896909330399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B7-4417-8BC9-8F6135A6D2AE}"/>
            </c:ext>
          </c:extLst>
        </c:ser>
        <c:ser>
          <c:idx val="1"/>
          <c:order val="1"/>
          <c:tx>
            <c:strRef>
              <c:f>'Зачётное задание'!$P$2</c:f>
              <c:strCache>
                <c:ptCount val="1"/>
                <c:pt idx="0">
                  <c:v>cos^2(x)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'Зачётное задание'!$N$3:$N$13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'Зачётное задание'!$P$3:$P$13</c:f>
              <c:numCache>
                <c:formatCode>General</c:formatCode>
                <c:ptCount val="11"/>
                <c:pt idx="0">
                  <c:v>0.70404103090669601</c:v>
                </c:pt>
                <c:pt idx="1">
                  <c:v>2.1170259838307684E-2</c:v>
                </c:pt>
                <c:pt idx="2">
                  <c:v>0.9219269793662459</c:v>
                </c:pt>
                <c:pt idx="3">
                  <c:v>0.42724998309569329</c:v>
                </c:pt>
                <c:pt idx="4">
                  <c:v>0.17317818956819406</c:v>
                </c:pt>
                <c:pt idx="5">
                  <c:v>1</c:v>
                </c:pt>
                <c:pt idx="6">
                  <c:v>0.17317818956819406</c:v>
                </c:pt>
                <c:pt idx="7">
                  <c:v>0.42724998309569329</c:v>
                </c:pt>
                <c:pt idx="8">
                  <c:v>0.9219269793662459</c:v>
                </c:pt>
                <c:pt idx="9">
                  <c:v>2.1170259838307684E-2</c:v>
                </c:pt>
                <c:pt idx="10">
                  <c:v>0.70404103090669601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B7-4417-8BC9-8F6135A6D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133455"/>
        <c:axId val="1732145455"/>
      </c:scatterChart>
      <c:valAx>
        <c:axId val="173213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2145455"/>
        <c:crosses val="autoZero"/>
        <c:crossBetween val="midCat"/>
      </c:valAx>
      <c:valAx>
        <c:axId val="173214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213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4762</xdr:rowOff>
    </xdr:from>
    <xdr:to>
      <xdr:col>12</xdr:col>
      <xdr:colOff>314325</xdr:colOff>
      <xdr:row>15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7A55161-79FF-194E-FE46-BF07F2754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20</xdr:col>
      <xdr:colOff>304800</xdr:colOff>
      <xdr:row>15</xdr:row>
      <xdr:rowOff>66675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C575CA1-B7ED-4DCF-9A01-211649D7C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185736</xdr:rowOff>
    </xdr:from>
    <xdr:to>
      <xdr:col>13</xdr:col>
      <xdr:colOff>19050</xdr:colOff>
      <xdr:row>18</xdr:row>
      <xdr:rowOff>190499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6404A69-629C-8874-6B03-FE66FC588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185737</xdr:rowOff>
    </xdr:from>
    <xdr:to>
      <xdr:col>11</xdr:col>
      <xdr:colOff>314325</xdr:colOff>
      <xdr:row>15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E38DC4-ED22-3818-2375-991230225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4762</xdr:rowOff>
    </xdr:from>
    <xdr:to>
      <xdr:col>24</xdr:col>
      <xdr:colOff>304800</xdr:colOff>
      <xdr:row>15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525D3C5-3A4A-E9F1-59D8-FB9CDF710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4762</xdr:rowOff>
    </xdr:from>
    <xdr:to>
      <xdr:col>11</xdr:col>
      <xdr:colOff>314325</xdr:colOff>
      <xdr:row>20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ED15E8-5688-1704-EB6B-1F2BF5E2D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6</xdr:row>
      <xdr:rowOff>4762</xdr:rowOff>
    </xdr:from>
    <xdr:to>
      <xdr:col>24</xdr:col>
      <xdr:colOff>304800</xdr:colOff>
      <xdr:row>20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B4983B8-C392-1C24-755F-74F1341FA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S18" sqref="S18"/>
    </sheetView>
  </sheetViews>
  <sheetFormatPr defaultRowHeight="15" x14ac:dyDescent="0.25"/>
  <cols>
    <col min="1" max="1" width="13" customWidth="1"/>
    <col min="3" max="3" width="11.85546875" customWidth="1"/>
    <col min="4" max="4" width="11.140625" customWidth="1"/>
  </cols>
  <sheetData>
    <row r="1" spans="1:4" ht="15.75" thickBot="1" x14ac:dyDescent="0.3">
      <c r="A1" s="12" t="s">
        <v>9</v>
      </c>
      <c r="B1" s="12"/>
      <c r="C1" s="12"/>
      <c r="D1" s="12"/>
    </row>
    <row r="2" spans="1:4" x14ac:dyDescent="0.25">
      <c r="A2" s="7" t="s">
        <v>0</v>
      </c>
      <c r="B2" s="8" t="s">
        <v>1</v>
      </c>
      <c r="C2" s="8" t="s">
        <v>2</v>
      </c>
      <c r="D2" s="9" t="s">
        <v>3</v>
      </c>
    </row>
    <row r="3" spans="1:4" x14ac:dyDescent="0.25">
      <c r="A3" s="10" t="s">
        <v>4</v>
      </c>
      <c r="B3" s="4">
        <v>5</v>
      </c>
      <c r="C3" s="2">
        <v>10</v>
      </c>
      <c r="D3" s="6">
        <f>B3 * C3</f>
        <v>50</v>
      </c>
    </row>
    <row r="4" spans="1:4" x14ac:dyDescent="0.25">
      <c r="A4" s="10" t="s">
        <v>5</v>
      </c>
      <c r="B4" s="4">
        <v>12</v>
      </c>
      <c r="C4" s="2">
        <v>15</v>
      </c>
      <c r="D4" s="6">
        <f t="shared" ref="D4:D7" si="0">B4 * C4</f>
        <v>180</v>
      </c>
    </row>
    <row r="5" spans="1:4" x14ac:dyDescent="0.25">
      <c r="A5" s="10" t="s">
        <v>6</v>
      </c>
      <c r="B5" s="4">
        <v>10</v>
      </c>
      <c r="C5" s="2">
        <v>4</v>
      </c>
      <c r="D5" s="6">
        <f t="shared" si="0"/>
        <v>40</v>
      </c>
    </row>
    <row r="6" spans="1:4" x14ac:dyDescent="0.25">
      <c r="A6" s="10" t="s">
        <v>7</v>
      </c>
      <c r="B6" s="4">
        <v>40</v>
      </c>
      <c r="C6" s="2">
        <v>2</v>
      </c>
      <c r="D6" s="6">
        <f t="shared" si="0"/>
        <v>80</v>
      </c>
    </row>
    <row r="7" spans="1:4" x14ac:dyDescent="0.25">
      <c r="A7" s="10" t="s">
        <v>8</v>
      </c>
      <c r="B7" s="4">
        <v>15</v>
      </c>
      <c r="C7" s="2">
        <v>5</v>
      </c>
      <c r="D7" s="6">
        <f t="shared" si="0"/>
        <v>75</v>
      </c>
    </row>
    <row r="8" spans="1:4" ht="15.75" thickBot="1" x14ac:dyDescent="0.3">
      <c r="A8" s="13" t="s">
        <v>10</v>
      </c>
      <c r="B8" s="14"/>
      <c r="C8" s="14"/>
      <c r="D8" s="11">
        <f>SUM(D3:D7)</f>
        <v>425</v>
      </c>
    </row>
  </sheetData>
  <mergeCells count="2">
    <mergeCell ref="A1:D1"/>
    <mergeCell ref="A8:C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C4E9-5538-4775-9CFE-D0B9D037BEC6}">
  <dimension ref="A1:C8"/>
  <sheetViews>
    <sheetView workbookViewId="0">
      <selection activeCell="O11" sqref="O11"/>
    </sheetView>
  </sheetViews>
  <sheetFormatPr defaultRowHeight="15" x14ac:dyDescent="0.25"/>
  <cols>
    <col min="3" max="3" width="12.5703125" customWidth="1"/>
  </cols>
  <sheetData>
    <row r="1" spans="1:3" x14ac:dyDescent="0.25">
      <c r="A1" s="15" t="s">
        <v>11</v>
      </c>
      <c r="B1" s="15"/>
      <c r="C1" s="15"/>
    </row>
    <row r="2" spans="1:3" x14ac:dyDescent="0.25">
      <c r="A2" s="15" t="s">
        <v>12</v>
      </c>
      <c r="B2" s="15"/>
      <c r="C2" s="15"/>
    </row>
    <row r="3" spans="1:3" x14ac:dyDescent="0.25">
      <c r="A3" s="3"/>
      <c r="B3" s="2" t="s">
        <v>13</v>
      </c>
      <c r="C3" s="2" t="s">
        <v>14</v>
      </c>
    </row>
    <row r="4" spans="1:3" x14ac:dyDescent="0.25">
      <c r="A4" s="3" t="s">
        <v>15</v>
      </c>
      <c r="B4" s="3">
        <v>2000</v>
      </c>
      <c r="C4" s="3">
        <v>900</v>
      </c>
    </row>
    <row r="5" spans="1:3" x14ac:dyDescent="0.25">
      <c r="A5" s="3" t="s">
        <v>16</v>
      </c>
      <c r="B5" s="3">
        <v>1810</v>
      </c>
      <c r="C5" s="3">
        <v>1020</v>
      </c>
    </row>
    <row r="6" spans="1:3" x14ac:dyDescent="0.25">
      <c r="A6" s="3" t="s">
        <v>17</v>
      </c>
      <c r="B6" s="3">
        <v>1820</v>
      </c>
      <c r="C6" s="3">
        <v>1500</v>
      </c>
    </row>
    <row r="7" spans="1:3" x14ac:dyDescent="0.25">
      <c r="A7" s="3" t="s">
        <v>18</v>
      </c>
      <c r="B7" s="3">
        <v>1900</v>
      </c>
      <c r="C7" s="3">
        <v>1060</v>
      </c>
    </row>
    <row r="8" spans="1:3" x14ac:dyDescent="0.25">
      <c r="A8" s="3" t="s">
        <v>19</v>
      </c>
      <c r="B8" s="3">
        <v>900</v>
      </c>
      <c r="C8" s="3">
        <v>1080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14F2-FE5A-492D-9A19-E8E8DE4E055E}">
  <dimension ref="B2:P36"/>
  <sheetViews>
    <sheetView workbookViewId="0">
      <selection activeCell="B4" sqref="B4"/>
    </sheetView>
  </sheetViews>
  <sheetFormatPr defaultRowHeight="15" x14ac:dyDescent="0.25"/>
  <sheetData>
    <row r="2" spans="2:16" x14ac:dyDescent="0.25">
      <c r="B2" s="16" t="s">
        <v>20</v>
      </c>
      <c r="C2" s="16"/>
      <c r="E2" s="1"/>
      <c r="F2" s="1"/>
      <c r="N2" s="17" t="s">
        <v>21</v>
      </c>
      <c r="O2" s="18"/>
      <c r="P2" s="19"/>
    </row>
    <row r="3" spans="2:16" x14ac:dyDescent="0.25">
      <c r="B3" s="2" t="s">
        <v>22</v>
      </c>
      <c r="C3" s="2" t="s">
        <v>23</v>
      </c>
      <c r="E3" s="1"/>
      <c r="F3" s="1"/>
      <c r="N3" s="3" t="s">
        <v>22</v>
      </c>
      <c r="O3" s="3" t="s">
        <v>24</v>
      </c>
      <c r="P3" s="3" t="s">
        <v>25</v>
      </c>
    </row>
    <row r="4" spans="2:16" x14ac:dyDescent="0.25">
      <c r="B4" s="3">
        <v>-8</v>
      </c>
      <c r="C4" s="3">
        <f>2 * (B4^2) + 4 * B4 - 7</f>
        <v>89</v>
      </c>
      <c r="N4" s="3">
        <v>-5</v>
      </c>
      <c r="O4" s="3">
        <f>SIN(N4)</f>
        <v>0.95892427466313845</v>
      </c>
      <c r="P4" s="3">
        <f>COS(N4)</f>
        <v>0.28366218546322625</v>
      </c>
    </row>
    <row r="5" spans="2:16" x14ac:dyDescent="0.25">
      <c r="B5" s="3">
        <v>-7.5</v>
      </c>
      <c r="C5" s="3">
        <f t="shared" ref="C5:C36" si="0">2 * (B5^2) + 4 * B5 - 7</f>
        <v>75.5</v>
      </c>
      <c r="N5" s="3">
        <v>-4.5</v>
      </c>
      <c r="O5" s="3">
        <f t="shared" ref="O5:O24" si="1">SIN(N5)</f>
        <v>0.97753011766509701</v>
      </c>
      <c r="P5" s="3">
        <f t="shared" ref="P5:P24" si="2">COS(N5)</f>
        <v>-0.2107957994307797</v>
      </c>
    </row>
    <row r="6" spans="2:16" x14ac:dyDescent="0.25">
      <c r="B6" s="3">
        <v>-7</v>
      </c>
      <c r="C6" s="3">
        <f t="shared" si="0"/>
        <v>63</v>
      </c>
      <c r="N6" s="3">
        <v>-4</v>
      </c>
      <c r="O6" s="3">
        <f t="shared" si="1"/>
        <v>0.7568024953079282</v>
      </c>
      <c r="P6" s="3">
        <f t="shared" si="2"/>
        <v>-0.65364362086361194</v>
      </c>
    </row>
    <row r="7" spans="2:16" x14ac:dyDescent="0.25">
      <c r="B7" s="3">
        <v>-6.5</v>
      </c>
      <c r="C7" s="3">
        <f t="shared" si="0"/>
        <v>51.5</v>
      </c>
      <c r="N7" s="3">
        <v>-3.5</v>
      </c>
      <c r="O7" s="3">
        <f t="shared" si="1"/>
        <v>0.35078322768961984</v>
      </c>
      <c r="P7" s="3">
        <f t="shared" si="2"/>
        <v>-0.93645668729079634</v>
      </c>
    </row>
    <row r="8" spans="2:16" x14ac:dyDescent="0.25">
      <c r="B8" s="3">
        <v>-6</v>
      </c>
      <c r="C8" s="3">
        <f t="shared" si="0"/>
        <v>41</v>
      </c>
      <c r="N8" s="3">
        <v>-3</v>
      </c>
      <c r="O8" s="3">
        <f t="shared" si="1"/>
        <v>-0.14112000805986721</v>
      </c>
      <c r="P8" s="3">
        <f t="shared" si="2"/>
        <v>-0.98999249660044542</v>
      </c>
    </row>
    <row r="9" spans="2:16" x14ac:dyDescent="0.25">
      <c r="B9" s="3">
        <v>-5.5</v>
      </c>
      <c r="C9" s="3">
        <f t="shared" si="0"/>
        <v>31.5</v>
      </c>
      <c r="N9" s="3">
        <v>-2.5</v>
      </c>
      <c r="O9" s="3">
        <f t="shared" si="1"/>
        <v>-0.59847214410395655</v>
      </c>
      <c r="P9" s="3">
        <f t="shared" si="2"/>
        <v>-0.8011436155469337</v>
      </c>
    </row>
    <row r="10" spans="2:16" x14ac:dyDescent="0.25">
      <c r="B10" s="3">
        <v>-5</v>
      </c>
      <c r="C10" s="3">
        <f t="shared" si="0"/>
        <v>23</v>
      </c>
      <c r="N10" s="3">
        <v>-2</v>
      </c>
      <c r="O10" s="3">
        <f t="shared" si="1"/>
        <v>-0.90929742682568171</v>
      </c>
      <c r="P10" s="3">
        <f t="shared" si="2"/>
        <v>-0.41614683654714241</v>
      </c>
    </row>
    <row r="11" spans="2:16" x14ac:dyDescent="0.25">
      <c r="B11" s="3">
        <v>-4.5</v>
      </c>
      <c r="C11" s="3">
        <f t="shared" si="0"/>
        <v>15.5</v>
      </c>
      <c r="N11" s="3">
        <v>-1.5</v>
      </c>
      <c r="O11" s="3">
        <f t="shared" si="1"/>
        <v>-0.99749498660405445</v>
      </c>
      <c r="P11" s="3">
        <f t="shared" si="2"/>
        <v>7.0737201667702906E-2</v>
      </c>
    </row>
    <row r="12" spans="2:16" x14ac:dyDescent="0.25">
      <c r="B12" s="3">
        <v>-4</v>
      </c>
      <c r="C12" s="3">
        <f t="shared" si="0"/>
        <v>9</v>
      </c>
      <c r="N12" s="3">
        <v>-1</v>
      </c>
      <c r="O12" s="3">
        <f t="shared" si="1"/>
        <v>-0.8414709848078965</v>
      </c>
      <c r="P12" s="3">
        <f t="shared" si="2"/>
        <v>0.54030230586813977</v>
      </c>
    </row>
    <row r="13" spans="2:16" x14ac:dyDescent="0.25">
      <c r="B13" s="3">
        <v>-3.5</v>
      </c>
      <c r="C13" s="3">
        <f t="shared" si="0"/>
        <v>3.5</v>
      </c>
      <c r="N13" s="3">
        <v>-0.5</v>
      </c>
      <c r="O13" s="3">
        <f t="shared" si="1"/>
        <v>-0.47942553860420301</v>
      </c>
      <c r="P13" s="3">
        <f t="shared" si="2"/>
        <v>0.87758256189037276</v>
      </c>
    </row>
    <row r="14" spans="2:16" x14ac:dyDescent="0.25">
      <c r="B14" s="3">
        <v>-3</v>
      </c>
      <c r="C14" s="3">
        <f t="shared" si="0"/>
        <v>-1</v>
      </c>
      <c r="N14" s="3">
        <v>0</v>
      </c>
      <c r="O14" s="3">
        <f t="shared" si="1"/>
        <v>0</v>
      </c>
      <c r="P14" s="3">
        <f t="shared" si="2"/>
        <v>1</v>
      </c>
    </row>
    <row r="15" spans="2:16" x14ac:dyDescent="0.25">
      <c r="B15" s="3">
        <v>-2.5</v>
      </c>
      <c r="C15" s="3">
        <f t="shared" si="0"/>
        <v>-4.5</v>
      </c>
      <c r="N15" s="3">
        <v>0.5</v>
      </c>
      <c r="O15" s="3">
        <f t="shared" si="1"/>
        <v>0.47942553860420301</v>
      </c>
      <c r="P15" s="3">
        <f t="shared" si="2"/>
        <v>0.87758256189037276</v>
      </c>
    </row>
    <row r="16" spans="2:16" x14ac:dyDescent="0.25">
      <c r="B16" s="3">
        <v>-2</v>
      </c>
      <c r="C16" s="3">
        <f t="shared" si="0"/>
        <v>-7</v>
      </c>
      <c r="N16" s="3">
        <v>1</v>
      </c>
      <c r="O16" s="3">
        <f t="shared" si="1"/>
        <v>0.8414709848078965</v>
      </c>
      <c r="P16" s="3">
        <f t="shared" si="2"/>
        <v>0.54030230586813977</v>
      </c>
    </row>
    <row r="17" spans="2:16" x14ac:dyDescent="0.25">
      <c r="B17" s="3">
        <v>-1.5</v>
      </c>
      <c r="C17" s="3">
        <f t="shared" si="0"/>
        <v>-8.5</v>
      </c>
      <c r="N17" s="3">
        <v>1.5</v>
      </c>
      <c r="O17" s="3">
        <f t="shared" si="1"/>
        <v>0.99749498660405445</v>
      </c>
      <c r="P17" s="3">
        <f t="shared" si="2"/>
        <v>7.0737201667702906E-2</v>
      </c>
    </row>
    <row r="18" spans="2:16" x14ac:dyDescent="0.25">
      <c r="B18" s="3">
        <v>-1</v>
      </c>
      <c r="C18" s="3">
        <f t="shared" si="0"/>
        <v>-9</v>
      </c>
      <c r="N18" s="3">
        <v>2</v>
      </c>
      <c r="O18" s="3">
        <f t="shared" si="1"/>
        <v>0.90929742682568171</v>
      </c>
      <c r="P18" s="3">
        <f t="shared" si="2"/>
        <v>-0.41614683654714241</v>
      </c>
    </row>
    <row r="19" spans="2:16" x14ac:dyDescent="0.25">
      <c r="B19" s="3">
        <v>-0.5</v>
      </c>
      <c r="C19" s="3">
        <f t="shared" si="0"/>
        <v>-8.5</v>
      </c>
      <c r="N19" s="3">
        <v>2.5</v>
      </c>
      <c r="O19" s="3">
        <f t="shared" si="1"/>
        <v>0.59847214410395655</v>
      </c>
      <c r="P19" s="3">
        <f t="shared" si="2"/>
        <v>-0.8011436155469337</v>
      </c>
    </row>
    <row r="20" spans="2:16" x14ac:dyDescent="0.25">
      <c r="B20" s="3">
        <v>0</v>
      </c>
      <c r="C20" s="3">
        <f t="shared" si="0"/>
        <v>-7</v>
      </c>
      <c r="N20" s="3">
        <v>3</v>
      </c>
      <c r="O20" s="3">
        <f t="shared" si="1"/>
        <v>0.14112000805986721</v>
      </c>
      <c r="P20" s="3">
        <f t="shared" si="2"/>
        <v>-0.98999249660044542</v>
      </c>
    </row>
    <row r="21" spans="2:16" x14ac:dyDescent="0.25">
      <c r="B21" s="3">
        <v>0.5</v>
      </c>
      <c r="C21" s="3">
        <f t="shared" si="0"/>
        <v>-4.5</v>
      </c>
      <c r="N21" s="3">
        <v>3.5</v>
      </c>
      <c r="O21" s="3">
        <f t="shared" si="1"/>
        <v>-0.35078322768961984</v>
      </c>
      <c r="P21" s="3">
        <f t="shared" si="2"/>
        <v>-0.93645668729079634</v>
      </c>
    </row>
    <row r="22" spans="2:16" x14ac:dyDescent="0.25">
      <c r="B22" s="3">
        <v>1</v>
      </c>
      <c r="C22" s="3">
        <f t="shared" si="0"/>
        <v>-1</v>
      </c>
      <c r="N22" s="3">
        <v>4</v>
      </c>
      <c r="O22" s="3">
        <f t="shared" si="1"/>
        <v>-0.7568024953079282</v>
      </c>
      <c r="P22" s="3">
        <f t="shared" si="2"/>
        <v>-0.65364362086361194</v>
      </c>
    </row>
    <row r="23" spans="2:16" x14ac:dyDescent="0.25">
      <c r="B23" s="3">
        <v>1.5</v>
      </c>
      <c r="C23" s="3">
        <f t="shared" si="0"/>
        <v>3.5</v>
      </c>
      <c r="N23" s="3">
        <v>4.5</v>
      </c>
      <c r="O23" s="3">
        <f t="shared" si="1"/>
        <v>-0.97753011766509701</v>
      </c>
      <c r="P23" s="3">
        <f t="shared" si="2"/>
        <v>-0.2107957994307797</v>
      </c>
    </row>
    <row r="24" spans="2:16" x14ac:dyDescent="0.25">
      <c r="B24" s="3">
        <v>2</v>
      </c>
      <c r="C24" s="3">
        <f t="shared" si="0"/>
        <v>9</v>
      </c>
      <c r="N24" s="3">
        <v>5</v>
      </c>
      <c r="O24" s="3">
        <f t="shared" si="1"/>
        <v>-0.95892427466313845</v>
      </c>
      <c r="P24" s="3">
        <f t="shared" si="2"/>
        <v>0.28366218546322625</v>
      </c>
    </row>
    <row r="25" spans="2:16" x14ac:dyDescent="0.25">
      <c r="B25" s="3">
        <v>2.5</v>
      </c>
      <c r="C25" s="3">
        <f t="shared" si="0"/>
        <v>15.5</v>
      </c>
    </row>
    <row r="26" spans="2:16" x14ac:dyDescent="0.25">
      <c r="B26" s="3">
        <v>3</v>
      </c>
      <c r="C26" s="3">
        <f t="shared" si="0"/>
        <v>23</v>
      </c>
    </row>
    <row r="27" spans="2:16" x14ac:dyDescent="0.25">
      <c r="B27" s="3">
        <v>3.5</v>
      </c>
      <c r="C27" s="3">
        <f t="shared" si="0"/>
        <v>31.5</v>
      </c>
    </row>
    <row r="28" spans="2:16" x14ac:dyDescent="0.25">
      <c r="B28" s="3">
        <v>4</v>
      </c>
      <c r="C28" s="3">
        <f t="shared" si="0"/>
        <v>41</v>
      </c>
    </row>
    <row r="29" spans="2:16" x14ac:dyDescent="0.25">
      <c r="B29" s="3">
        <v>4.5</v>
      </c>
      <c r="C29" s="3">
        <f t="shared" si="0"/>
        <v>51.5</v>
      </c>
    </row>
    <row r="30" spans="2:16" x14ac:dyDescent="0.25">
      <c r="B30" s="3">
        <v>5</v>
      </c>
      <c r="C30" s="3">
        <f t="shared" si="0"/>
        <v>63</v>
      </c>
    </row>
    <row r="31" spans="2:16" x14ac:dyDescent="0.25">
      <c r="B31" s="3">
        <v>5.5</v>
      </c>
      <c r="C31" s="3">
        <f t="shared" si="0"/>
        <v>75.5</v>
      </c>
    </row>
    <row r="32" spans="2:16" x14ac:dyDescent="0.25">
      <c r="B32" s="3">
        <v>6</v>
      </c>
      <c r="C32" s="3">
        <f t="shared" si="0"/>
        <v>89</v>
      </c>
    </row>
    <row r="33" spans="2:3" x14ac:dyDescent="0.25">
      <c r="B33" s="3">
        <v>6.5</v>
      </c>
      <c r="C33" s="3">
        <f t="shared" si="0"/>
        <v>103.5</v>
      </c>
    </row>
    <row r="34" spans="2:3" x14ac:dyDescent="0.25">
      <c r="B34" s="3">
        <v>7</v>
      </c>
      <c r="C34" s="3">
        <f t="shared" si="0"/>
        <v>119</v>
      </c>
    </row>
    <row r="35" spans="2:3" x14ac:dyDescent="0.25">
      <c r="B35" s="3">
        <v>7.5</v>
      </c>
      <c r="C35" s="3">
        <f t="shared" si="0"/>
        <v>135.5</v>
      </c>
    </row>
    <row r="36" spans="2:3" x14ac:dyDescent="0.25">
      <c r="B36" s="3">
        <v>8</v>
      </c>
      <c r="C36" s="3">
        <f t="shared" si="0"/>
        <v>153</v>
      </c>
    </row>
  </sheetData>
  <mergeCells count="2">
    <mergeCell ref="B2:C2"/>
    <mergeCell ref="N2:P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225F-35B2-4BB9-A749-48E0FEEF704B}">
  <dimension ref="B2:P28"/>
  <sheetViews>
    <sheetView tabSelected="1" workbookViewId="0">
      <selection activeCell="R26" sqref="R26"/>
    </sheetView>
  </sheetViews>
  <sheetFormatPr defaultRowHeight="15" x14ac:dyDescent="0.25"/>
  <cols>
    <col min="2" max="2" width="11.85546875" customWidth="1"/>
  </cols>
  <sheetData>
    <row r="2" spans="2:16" x14ac:dyDescent="0.25">
      <c r="B2" s="16" t="s">
        <v>26</v>
      </c>
      <c r="C2" s="16"/>
      <c r="N2" s="5" t="s">
        <v>22</v>
      </c>
      <c r="O2" s="5" t="s">
        <v>58</v>
      </c>
      <c r="P2" s="5" t="s">
        <v>59</v>
      </c>
    </row>
    <row r="3" spans="2:16" x14ac:dyDescent="0.25">
      <c r="B3" s="5" t="s">
        <v>27</v>
      </c>
      <c r="C3" s="5" t="s">
        <v>28</v>
      </c>
      <c r="N3" s="21">
        <v>-10</v>
      </c>
      <c r="O3" s="5">
        <f>SIN(N3) ^ 2</f>
        <v>0.29595896909330399</v>
      </c>
      <c r="P3" s="5">
        <f>COS(N3) ^ 2</f>
        <v>0.70404103090669601</v>
      </c>
    </row>
    <row r="4" spans="2:16" x14ac:dyDescent="0.25">
      <c r="B4" s="3" t="s">
        <v>29</v>
      </c>
      <c r="C4" s="20" t="s">
        <v>30</v>
      </c>
      <c r="E4" s="3" t="s">
        <v>56</v>
      </c>
      <c r="F4" s="3">
        <f>COUNTIF(C4:C28, "м")</f>
        <v>15</v>
      </c>
      <c r="N4" s="21">
        <v>-8</v>
      </c>
      <c r="O4" s="5">
        <f t="shared" ref="O4:O13" si="0">SIN(N4) ^ 2</f>
        <v>0.97882974016169233</v>
      </c>
      <c r="P4" s="5">
        <f t="shared" ref="P4:P13" si="1">COS(N4) ^ 2</f>
        <v>2.1170259838307684E-2</v>
      </c>
    </row>
    <row r="5" spans="2:16" x14ac:dyDescent="0.25">
      <c r="B5" s="3" t="s">
        <v>53</v>
      </c>
      <c r="C5" s="20" t="s">
        <v>30</v>
      </c>
      <c r="E5" s="3" t="s">
        <v>57</v>
      </c>
      <c r="F5" s="3">
        <f>COUNTIF(C4:C28, "ж")</f>
        <v>10</v>
      </c>
      <c r="N5" s="21">
        <v>-6</v>
      </c>
      <c r="O5" s="5">
        <f t="shared" si="0"/>
        <v>7.8073020633753945E-2</v>
      </c>
      <c r="P5" s="5">
        <f t="shared" si="1"/>
        <v>0.9219269793662459</v>
      </c>
    </row>
    <row r="6" spans="2:16" x14ac:dyDescent="0.25">
      <c r="B6" s="3" t="s">
        <v>32</v>
      </c>
      <c r="C6" s="20" t="s">
        <v>30</v>
      </c>
      <c r="N6" s="21">
        <v>-4</v>
      </c>
      <c r="O6" s="5">
        <f t="shared" si="0"/>
        <v>0.57275001690430671</v>
      </c>
      <c r="P6" s="5">
        <f t="shared" si="1"/>
        <v>0.42724998309569329</v>
      </c>
    </row>
    <row r="7" spans="2:16" x14ac:dyDescent="0.25">
      <c r="B7" s="3" t="s">
        <v>54</v>
      </c>
      <c r="C7" s="20" t="s">
        <v>30</v>
      </c>
      <c r="N7" s="21">
        <v>-2</v>
      </c>
      <c r="O7" s="5">
        <f t="shared" si="0"/>
        <v>0.82682181043180603</v>
      </c>
      <c r="P7" s="5">
        <f t="shared" si="1"/>
        <v>0.17317818956819406</v>
      </c>
    </row>
    <row r="8" spans="2:16" x14ac:dyDescent="0.25">
      <c r="B8" s="3" t="s">
        <v>33</v>
      </c>
      <c r="C8" s="20" t="s">
        <v>30</v>
      </c>
      <c r="N8" s="21">
        <v>0</v>
      </c>
      <c r="O8" s="5">
        <f t="shared" si="0"/>
        <v>0</v>
      </c>
      <c r="P8" s="5">
        <f t="shared" si="1"/>
        <v>1</v>
      </c>
    </row>
    <row r="9" spans="2:16" x14ac:dyDescent="0.25">
      <c r="B9" s="3" t="s">
        <v>34</v>
      </c>
      <c r="C9" s="20" t="s">
        <v>31</v>
      </c>
      <c r="N9" s="21">
        <v>2</v>
      </c>
      <c r="O9" s="5">
        <f t="shared" si="0"/>
        <v>0.82682181043180603</v>
      </c>
      <c r="P9" s="5">
        <f t="shared" si="1"/>
        <v>0.17317818956819406</v>
      </c>
    </row>
    <row r="10" spans="2:16" x14ac:dyDescent="0.25">
      <c r="B10" s="3" t="s">
        <v>55</v>
      </c>
      <c r="C10" s="20" t="s">
        <v>30</v>
      </c>
      <c r="N10" s="21">
        <v>4</v>
      </c>
      <c r="O10" s="5">
        <f t="shared" si="0"/>
        <v>0.57275001690430671</v>
      </c>
      <c r="P10" s="5">
        <f t="shared" si="1"/>
        <v>0.42724998309569329</v>
      </c>
    </row>
    <row r="11" spans="2:16" x14ac:dyDescent="0.25">
      <c r="B11" s="3" t="s">
        <v>35</v>
      </c>
      <c r="C11" s="20" t="s">
        <v>31</v>
      </c>
      <c r="N11" s="21">
        <v>6</v>
      </c>
      <c r="O11" s="5">
        <f t="shared" si="0"/>
        <v>7.8073020633753945E-2</v>
      </c>
      <c r="P11" s="5">
        <f t="shared" si="1"/>
        <v>0.9219269793662459</v>
      </c>
    </row>
    <row r="12" spans="2:16" x14ac:dyDescent="0.25">
      <c r="B12" s="3" t="s">
        <v>36</v>
      </c>
      <c r="C12" s="20" t="s">
        <v>30</v>
      </c>
      <c r="N12" s="21">
        <v>8</v>
      </c>
      <c r="O12" s="5">
        <f t="shared" si="0"/>
        <v>0.97882974016169233</v>
      </c>
      <c r="P12" s="5">
        <f t="shared" si="1"/>
        <v>2.1170259838307684E-2</v>
      </c>
    </row>
    <row r="13" spans="2:16" x14ac:dyDescent="0.25">
      <c r="B13" s="3" t="s">
        <v>37</v>
      </c>
      <c r="C13" s="20" t="s">
        <v>31</v>
      </c>
      <c r="N13" s="21">
        <v>10</v>
      </c>
      <c r="O13" s="5">
        <f t="shared" si="0"/>
        <v>0.29595896909330399</v>
      </c>
      <c r="P13" s="5">
        <f t="shared" si="1"/>
        <v>0.70404103090669601</v>
      </c>
    </row>
    <row r="14" spans="2:16" x14ac:dyDescent="0.25">
      <c r="B14" s="3" t="s">
        <v>38</v>
      </c>
      <c r="C14" s="20" t="s">
        <v>30</v>
      </c>
    </row>
    <row r="15" spans="2:16" x14ac:dyDescent="0.25">
      <c r="B15" s="3" t="s">
        <v>39</v>
      </c>
      <c r="C15" s="20" t="s">
        <v>31</v>
      </c>
    </row>
    <row r="16" spans="2:16" x14ac:dyDescent="0.25">
      <c r="B16" s="3" t="s">
        <v>40</v>
      </c>
      <c r="C16" s="20" t="s">
        <v>30</v>
      </c>
    </row>
    <row r="17" spans="2:3" x14ac:dyDescent="0.25">
      <c r="B17" s="3" t="s">
        <v>41</v>
      </c>
      <c r="C17" s="20" t="s">
        <v>31</v>
      </c>
    </row>
    <row r="18" spans="2:3" x14ac:dyDescent="0.25">
      <c r="B18" s="3" t="s">
        <v>42</v>
      </c>
      <c r="C18" s="20" t="s">
        <v>30</v>
      </c>
    </row>
    <row r="19" spans="2:3" x14ac:dyDescent="0.25">
      <c r="B19" s="3" t="s">
        <v>43</v>
      </c>
      <c r="C19" s="20" t="s">
        <v>31</v>
      </c>
    </row>
    <row r="20" spans="2:3" x14ac:dyDescent="0.25">
      <c r="B20" s="3" t="s">
        <v>44</v>
      </c>
      <c r="C20" s="20" t="s">
        <v>30</v>
      </c>
    </row>
    <row r="21" spans="2:3" x14ac:dyDescent="0.25">
      <c r="B21" s="3" t="s">
        <v>45</v>
      </c>
      <c r="C21" s="20" t="s">
        <v>31</v>
      </c>
    </row>
    <row r="22" spans="2:3" x14ac:dyDescent="0.25">
      <c r="B22" s="3" t="s">
        <v>46</v>
      </c>
      <c r="C22" s="20" t="s">
        <v>30</v>
      </c>
    </row>
    <row r="23" spans="2:3" x14ac:dyDescent="0.25">
      <c r="B23" s="3" t="s">
        <v>47</v>
      </c>
      <c r="C23" s="20" t="s">
        <v>31</v>
      </c>
    </row>
    <row r="24" spans="2:3" x14ac:dyDescent="0.25">
      <c r="B24" s="3" t="s">
        <v>48</v>
      </c>
      <c r="C24" s="20" t="s">
        <v>30</v>
      </c>
    </row>
    <row r="25" spans="2:3" x14ac:dyDescent="0.25">
      <c r="B25" s="3" t="s">
        <v>49</v>
      </c>
      <c r="C25" s="20" t="s">
        <v>31</v>
      </c>
    </row>
    <row r="26" spans="2:3" x14ac:dyDescent="0.25">
      <c r="B26" s="3" t="s">
        <v>50</v>
      </c>
      <c r="C26" s="20" t="s">
        <v>30</v>
      </c>
    </row>
    <row r="27" spans="2:3" x14ac:dyDescent="0.25">
      <c r="B27" s="3" t="s">
        <v>51</v>
      </c>
      <c r="C27" s="20" t="s">
        <v>31</v>
      </c>
    </row>
    <row r="28" spans="2:3" x14ac:dyDescent="0.25">
      <c r="B28" s="3" t="s">
        <v>52</v>
      </c>
      <c r="C28" s="20" t="s">
        <v>30</v>
      </c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Расч. стоимости</vt:lpstr>
      <vt:lpstr>Блестящие итоги</vt:lpstr>
      <vt:lpstr>Графики 1 и 2</vt:lpstr>
      <vt:lpstr>Зачётное 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Майк Грей</dc:creator>
  <cp:lastModifiedBy>Майк Грей</cp:lastModifiedBy>
  <dcterms:created xsi:type="dcterms:W3CDTF">2015-06-05T18:19:34Z</dcterms:created>
  <dcterms:modified xsi:type="dcterms:W3CDTF">2026-09-29T11:53:41Z</dcterms:modified>
</cp:coreProperties>
</file>